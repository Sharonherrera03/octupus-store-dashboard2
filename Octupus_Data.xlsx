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ry/Desktop/PORTFOLIO_SHARON/"/>
    </mc:Choice>
  </mc:AlternateContent>
  <xr:revisionPtr revIDLastSave="0" documentId="13_ncr:1_{B47AE413-8A61-6645-A162-29B266E9ECB3}" xr6:coauthVersionLast="47" xr6:coauthVersionMax="47" xr10:uidLastSave="{00000000-0000-0000-0000-000000000000}"/>
  <bookViews>
    <workbookView xWindow="0" yWindow="740" windowWidth="29400" windowHeight="16740" xr2:uid="{21B1DD73-0076-DE47-851E-E32D0CDEC1CF}"/>
    <workbookView xWindow="14800" yWindow="900" windowWidth="14440" windowHeight="16420" xr2:uid="{5F48BAEB-42B9-2D48-80B2-5FD81B6B32A6}"/>
  </bookViews>
  <sheets>
    <sheet name="Foglio di CALCOLO" sheetId="1" r:id="rId1"/>
    <sheet name="POWERPOINT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B7" i="2"/>
  <c r="B8" i="2" s="1"/>
  <c r="H45" i="1"/>
  <c r="H46" i="1"/>
  <c r="H47" i="1"/>
  <c r="H48" i="1"/>
  <c r="H44" i="1"/>
  <c r="D40" i="1"/>
  <c r="C7" i="2" s="1"/>
  <c r="C34" i="1"/>
  <c r="B6" i="2" s="1"/>
  <c r="C26" i="1"/>
  <c r="B5" i="2" s="1"/>
  <c r="C18" i="1"/>
  <c r="B4" i="2" s="1"/>
  <c r="K39" i="1"/>
  <c r="K5" i="1"/>
  <c r="G48" i="1"/>
  <c r="I49" i="1"/>
  <c r="K6" i="1"/>
  <c r="K7" i="1"/>
  <c r="K8" i="1"/>
  <c r="K9" i="1"/>
  <c r="K11" i="1"/>
  <c r="K12" i="1"/>
  <c r="K13" i="1"/>
  <c r="K14" i="1"/>
  <c r="K15" i="1"/>
  <c r="K16" i="1"/>
  <c r="K17" i="1"/>
  <c r="K19" i="1"/>
  <c r="K20" i="1"/>
  <c r="K21" i="1"/>
  <c r="K22" i="1"/>
  <c r="K23" i="1"/>
  <c r="K24" i="1"/>
  <c r="K25" i="1"/>
  <c r="K27" i="1"/>
  <c r="K28" i="1"/>
  <c r="K29" i="1"/>
  <c r="K30" i="1"/>
  <c r="K31" i="1"/>
  <c r="K32" i="1"/>
  <c r="K33" i="1"/>
  <c r="K35" i="1"/>
  <c r="K36" i="1"/>
  <c r="K37" i="1"/>
  <c r="K38" i="1"/>
  <c r="E5" i="1"/>
  <c r="J32" i="1"/>
  <c r="C49" i="1"/>
  <c r="K44" i="1" s="1"/>
  <c r="G45" i="1"/>
  <c r="G46" i="1"/>
  <c r="G47" i="1"/>
  <c r="E45" i="1"/>
  <c r="E46" i="1"/>
  <c r="E47" i="1"/>
  <c r="E48" i="1"/>
  <c r="E44" i="1"/>
  <c r="J49" i="1"/>
  <c r="D49" i="1"/>
  <c r="E49" i="1" s="1"/>
  <c r="J6" i="1"/>
  <c r="J7" i="1"/>
  <c r="J8" i="1"/>
  <c r="J9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J27" i="1"/>
  <c r="J28" i="1"/>
  <c r="J29" i="1"/>
  <c r="J30" i="1"/>
  <c r="J31" i="1"/>
  <c r="J33" i="1"/>
  <c r="J35" i="1"/>
  <c r="J36" i="1"/>
  <c r="J37" i="1"/>
  <c r="J38" i="1"/>
  <c r="J39" i="1"/>
  <c r="J5" i="1"/>
  <c r="I40" i="1"/>
  <c r="D7" i="2" s="1"/>
  <c r="I34" i="1"/>
  <c r="D6" i="2" s="1"/>
  <c r="C40" i="1"/>
  <c r="D34" i="1"/>
  <c r="C6" i="2" s="1"/>
  <c r="I26" i="1"/>
  <c r="D5" i="2" s="1"/>
  <c r="D26" i="1"/>
  <c r="C5" i="2" s="1"/>
  <c r="I18" i="1"/>
  <c r="D4" i="2" s="1"/>
  <c r="D18" i="1"/>
  <c r="C4" i="2" s="1"/>
  <c r="I10" i="1"/>
  <c r="D3" i="2" s="1"/>
  <c r="D10" i="1"/>
  <c r="C3" i="2" s="1"/>
  <c r="C10" i="1"/>
  <c r="B3" i="2" s="1"/>
  <c r="E9" i="1"/>
  <c r="E6" i="1"/>
  <c r="E7" i="1"/>
  <c r="E8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5" i="1"/>
  <c r="E36" i="1"/>
  <c r="E37" i="1"/>
  <c r="E38" i="1"/>
  <c r="E39" i="1"/>
  <c r="G6" i="1"/>
  <c r="G7" i="1"/>
  <c r="G8" i="1"/>
  <c r="G9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5" i="1"/>
  <c r="G36" i="1"/>
  <c r="G37" i="1"/>
  <c r="G38" i="1"/>
  <c r="G39" i="1"/>
  <c r="G5" i="1"/>
  <c r="F45" i="1" l="1"/>
  <c r="F48" i="1"/>
  <c r="F44" i="1"/>
  <c r="F47" i="1"/>
  <c r="F46" i="1"/>
  <c r="D8" i="2"/>
  <c r="C8" i="2"/>
  <c r="E5" i="2"/>
  <c r="C41" i="1"/>
  <c r="E6" i="2"/>
  <c r="E3" i="2"/>
  <c r="E4" i="2"/>
  <c r="K10" i="1"/>
  <c r="K18" i="1"/>
  <c r="K26" i="1"/>
  <c r="K40" i="1"/>
  <c r="G49" i="1"/>
  <c r="K34" i="1"/>
  <c r="J10" i="1"/>
  <c r="J40" i="1"/>
  <c r="G26" i="1"/>
  <c r="K48" i="1"/>
  <c r="L48" i="1" s="1"/>
  <c r="M48" i="1" s="1"/>
  <c r="N48" i="1" s="1"/>
  <c r="K47" i="1"/>
  <c r="L47" i="1" s="1"/>
  <c r="M47" i="1" s="1"/>
  <c r="N47" i="1" s="1"/>
  <c r="D41" i="1"/>
  <c r="J34" i="1"/>
  <c r="K46" i="1"/>
  <c r="L46" i="1" s="1"/>
  <c r="M46" i="1" s="1"/>
  <c r="N46" i="1" s="1"/>
  <c r="K45" i="1"/>
  <c r="L45" i="1" s="1"/>
  <c r="M45" i="1" s="1"/>
  <c r="N45" i="1" s="1"/>
  <c r="L44" i="1"/>
  <c r="M44" i="1" s="1"/>
  <c r="N44" i="1" s="1"/>
  <c r="J26" i="1"/>
  <c r="J18" i="1"/>
  <c r="G10" i="1"/>
  <c r="G34" i="1"/>
  <c r="E26" i="1"/>
  <c r="G18" i="1"/>
  <c r="E10" i="1"/>
  <c r="E40" i="1"/>
  <c r="G40" i="1"/>
  <c r="E34" i="1"/>
  <c r="E18" i="1"/>
  <c r="I41" i="1"/>
  <c r="D9" i="2" l="1"/>
  <c r="D10" i="2" s="1"/>
  <c r="C9" i="2"/>
  <c r="C10" i="2" s="1"/>
  <c r="E7" i="2"/>
  <c r="E8" i="2" s="1"/>
  <c r="K41" i="1"/>
  <c r="J41" i="1"/>
  <c r="E41" i="1"/>
  <c r="G41" i="1"/>
</calcChain>
</file>

<file path=xl/sharedStrings.xml><?xml version="1.0" encoding="utf-8"?>
<sst xmlns="http://schemas.openxmlformats.org/spreadsheetml/2006/main" count="83" uniqueCount="51">
  <si>
    <t xml:space="preserve">Negozio x </t>
  </si>
  <si>
    <t>Sales</t>
  </si>
  <si>
    <t>Budget</t>
  </si>
  <si>
    <t>Idx 
To Budget</t>
  </si>
  <si>
    <t>Salest
LY</t>
  </si>
  <si>
    <t>WON/
LOST</t>
  </si>
  <si>
    <t>Idx
Sales LY</t>
  </si>
  <si>
    <t>LUGLIO</t>
  </si>
  <si>
    <t>Date</t>
  </si>
  <si>
    <t>Mercoledì</t>
  </si>
  <si>
    <t>Giovedì</t>
  </si>
  <si>
    <t>Venerdì</t>
  </si>
  <si>
    <t>Sabato</t>
  </si>
  <si>
    <t>Domenica</t>
  </si>
  <si>
    <t>Lunedì</t>
  </si>
  <si>
    <t>Martedì</t>
  </si>
  <si>
    <t>N. Trnx</t>
  </si>
  <si>
    <t>Qty</t>
  </si>
  <si>
    <t>NICCOLÒ</t>
  </si>
  <si>
    <t>WON/
LOST (LY)</t>
  </si>
  <si>
    <t>SARA</t>
  </si>
  <si>
    <t>GIULIA</t>
  </si>
  <si>
    <t>FRANCESCA</t>
  </si>
  <si>
    <t>MARCO</t>
  </si>
  <si>
    <t>ID Dipendente</t>
  </si>
  <si>
    <t>Dipendente</t>
  </si>
  <si>
    <t>Fatturato (€)</t>
  </si>
  <si>
    <t>Scontrino Medio (€)</t>
  </si>
  <si>
    <t>Ore Lavorate (h)</t>
  </si>
  <si>
    <t>UPT</t>
  </si>
  <si>
    <t>Quota Ore (%)</t>
  </si>
  <si>
    <t>Scostamento Budget (€)</t>
  </si>
  <si>
    <t>Var. Budget (%)</t>
  </si>
  <si>
    <t>W27</t>
  </si>
  <si>
    <t>W28</t>
  </si>
  <si>
    <t>W29</t>
  </si>
  <si>
    <t>W30</t>
  </si>
  <si>
    <t>W31</t>
  </si>
  <si>
    <t>Budget GAP - LUGLIO</t>
  </si>
  <si>
    <t>Target</t>
  </si>
  <si>
    <t>GAP</t>
  </si>
  <si>
    <t>Budget GAP</t>
  </si>
  <si>
    <t>Weekly Trend</t>
  </si>
  <si>
    <t>LY</t>
  </si>
  <si>
    <t>Raggiunto</t>
  </si>
  <si>
    <t>Mancante</t>
  </si>
  <si>
    <t>Media Store</t>
  </si>
  <si>
    <t>Var. Fatturato/Target</t>
  </si>
  <si>
    <t>Scontrino Medio</t>
  </si>
  <si>
    <t>Target (€)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</si>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</sst>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_-* #,##0_-;\-* #,##0_-;_-* &quot;-&quot;??_-;_-@_-"/>
    <numFmt numFmtId="166" formatCode="_-* #,##0.0\ &quot;€&quot;_-;\-* #,##0.0\ &quot;€&quot;_-;_-* &quot;-&quot;??\ &quot;€&quot;_-;_-@_-"/>
    <numFmt numFmtId="167" formatCode="0.0%"/>
    <numFmt numFmtId="168" formatCode="0_ ;[Red]\-0\ "/>
  </numFmts>
  <fonts count="15">
    <font>
      <sz val="10"/>
      <color theme="1"/>
      <name val="Futura Bk BT"/>
      <family val="2"/>
    </font>
    <font>
      <sz val="10"/>
      <color theme="1"/>
      <name val="Futura Bk BT"/>
      <family val="2"/>
    </font>
    <font>
      <sz val="10"/>
      <color theme="1"/>
      <name val="Cochin"/>
      <family val="1"/>
    </font>
    <font>
      <sz val="12"/>
      <color theme="1"/>
      <name val="Cochin"/>
      <family val="1"/>
    </font>
    <font>
      <b/>
      <sz val="10"/>
      <color rgb="FF586BAF"/>
      <name val="Cochin"/>
      <family val="1"/>
    </font>
    <font>
      <sz val="8"/>
      <name val="Futura Bk BT"/>
      <family val="2"/>
    </font>
    <font>
      <b/>
      <sz val="10"/>
      <color theme="0"/>
      <name val="Cochin"/>
      <family val="1"/>
    </font>
    <font>
      <sz val="10"/>
      <color theme="1"/>
      <name val="Ui-monospace"/>
      <family val="3"/>
    </font>
    <font>
      <b/>
      <sz val="14"/>
      <color rgb="FF586BAF"/>
      <name val="Cochin"/>
      <family val="1"/>
    </font>
    <font>
      <b/>
      <sz val="11"/>
      <color rgb="FFFFFFFF"/>
      <name val="Cochin"/>
      <family val="1"/>
    </font>
    <font>
      <b/>
      <sz val="10"/>
      <color theme="1"/>
      <name val="Cochin"/>
      <family val="1"/>
    </font>
    <font>
      <sz val="10"/>
      <color rgb="FF333333"/>
      <name val="Cochin"/>
      <family val="1"/>
    </font>
    <font>
      <b/>
      <sz val="11"/>
      <color rgb="FF1B365D"/>
      <name val="Cochin"/>
      <family val="1"/>
    </font>
    <font>
      <sz val="12"/>
      <color theme="1"/>
      <name val="Cochin Bold"/>
    </font>
    <font>
      <sz val="14"/>
      <color theme="1"/>
      <name val="Cochin"/>
      <family val="1"/>
    </font>
  </fonts>
  <fills count="3">
    <fill>
      <patternFill patternType="none"/>
    </fill>
    <fill>
      <patternFill patternType="gray125"/>
    </fill>
    <fill>
      <patternFill patternType="solid">
        <fgColor rgb="FF586BA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9" fontId="2" fillId="0" borderId="0" xfId="2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14" fontId="2" fillId="0" borderId="0" xfId="0" applyNumberFormat="1" applyFont="1"/>
    <xf numFmtId="14" fontId="4" fillId="0" borderId="0" xfId="0" applyNumberFormat="1" applyFont="1"/>
    <xf numFmtId="43" fontId="4" fillId="0" borderId="0" xfId="3" applyFont="1" applyAlignment="1"/>
    <xf numFmtId="166" fontId="2" fillId="0" borderId="0" xfId="1" applyNumberFormat="1" applyFont="1"/>
    <xf numFmtId="164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/>
    <xf numFmtId="0" fontId="2" fillId="0" borderId="0" xfId="0" applyFont="1" applyAlignment="1">
      <alignment horizontal="right"/>
    </xf>
    <xf numFmtId="167" fontId="2" fillId="0" borderId="0" xfId="2" applyNumberFormat="1" applyFont="1"/>
    <xf numFmtId="10" fontId="2" fillId="0" borderId="0" xfId="2" applyNumberFormat="1" applyFont="1"/>
    <xf numFmtId="44" fontId="2" fillId="0" borderId="0" xfId="1" applyFont="1"/>
    <xf numFmtId="168" fontId="4" fillId="0" borderId="0" xfId="0" applyNumberFormat="1" applyFont="1" applyAlignment="1">
      <alignment horizontal="center" vertical="center" wrapText="1"/>
    </xf>
    <xf numFmtId="168" fontId="4" fillId="0" borderId="0" xfId="0" applyNumberFormat="1" applyFont="1"/>
    <xf numFmtId="168" fontId="2" fillId="0" borderId="0" xfId="2" applyNumberFormat="1" applyFont="1"/>
    <xf numFmtId="168" fontId="2" fillId="0" borderId="0" xfId="0" applyNumberFormat="1" applyFont="1"/>
    <xf numFmtId="164" fontId="4" fillId="0" borderId="0" xfId="0" applyNumberFormat="1" applyFont="1"/>
    <xf numFmtId="9" fontId="4" fillId="0" borderId="0" xfId="2" applyFont="1" applyAlignment="1"/>
    <xf numFmtId="164" fontId="6" fillId="2" borderId="0" xfId="1" applyNumberFormat="1" applyFont="1" applyFill="1" applyAlignment="1"/>
    <xf numFmtId="9" fontId="6" fillId="2" borderId="0" xfId="2" applyFont="1" applyFill="1" applyAlignment="1"/>
    <xf numFmtId="0" fontId="7" fillId="0" borderId="0" xfId="0" applyFont="1"/>
    <xf numFmtId="44" fontId="2" fillId="0" borderId="0" xfId="0" applyNumberFormat="1" applyFont="1"/>
    <xf numFmtId="165" fontId="2" fillId="0" borderId="0" xfId="3" applyNumberFormat="1" applyFont="1"/>
    <xf numFmtId="43" fontId="2" fillId="0" borderId="0" xfId="3" applyFont="1"/>
    <xf numFmtId="44" fontId="2" fillId="0" borderId="1" xfId="1" applyFont="1" applyBorder="1"/>
    <xf numFmtId="43" fontId="2" fillId="0" borderId="1" xfId="3" applyFont="1" applyBorder="1"/>
    <xf numFmtId="165" fontId="2" fillId="0" borderId="1" xfId="3" applyNumberFormat="1" applyFont="1" applyBorder="1"/>
    <xf numFmtId="164" fontId="2" fillId="0" borderId="1" xfId="1" applyNumberFormat="1" applyFont="1" applyBorder="1"/>
    <xf numFmtId="9" fontId="2" fillId="0" borderId="1" xfId="2" applyFont="1" applyBorder="1"/>
    <xf numFmtId="168" fontId="2" fillId="0" borderId="1" xfId="2" applyNumberFormat="1" applyFont="1" applyBorder="1"/>
    <xf numFmtId="164" fontId="4" fillId="0" borderId="2" xfId="1" applyNumberFormat="1" applyFont="1" applyBorder="1" applyAlignment="1"/>
    <xf numFmtId="9" fontId="4" fillId="0" borderId="2" xfId="2" applyFont="1" applyBorder="1" applyAlignment="1"/>
    <xf numFmtId="164" fontId="4" fillId="0" borderId="3" xfId="1" applyNumberFormat="1" applyFont="1" applyBorder="1" applyAlignment="1"/>
    <xf numFmtId="9" fontId="4" fillId="0" borderId="3" xfId="2" applyFont="1" applyBorder="1" applyAlignment="1"/>
    <xf numFmtId="165" fontId="7" fillId="0" borderId="0" xfId="3" applyNumberFormat="1" applyFont="1"/>
    <xf numFmtId="8" fontId="2" fillId="0" borderId="0" xfId="0" applyNumberFormat="1" applyFont="1"/>
    <xf numFmtId="44" fontId="4" fillId="0" borderId="0" xfId="1" applyFont="1" applyAlignment="1"/>
    <xf numFmtId="164" fontId="2" fillId="0" borderId="0" xfId="0" applyNumberFormat="1" applyFont="1"/>
    <xf numFmtId="165" fontId="3" fillId="0" borderId="0" xfId="3" applyNumberFormat="1" applyFont="1"/>
    <xf numFmtId="164" fontId="3" fillId="0" borderId="0" xfId="1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11" fillId="0" borderId="0" xfId="0" applyNumberFormat="1" applyFont="1"/>
    <xf numFmtId="14" fontId="10" fillId="0" borderId="0" xfId="0" applyNumberFormat="1" applyFont="1"/>
    <xf numFmtId="0" fontId="12" fillId="0" borderId="0" xfId="0" applyFont="1"/>
    <xf numFmtId="14" fontId="12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164" fontId="3" fillId="0" borderId="1" xfId="1" applyNumberFormat="1" applyFont="1" applyBorder="1"/>
    <xf numFmtId="9" fontId="10" fillId="0" borderId="0" xfId="2" applyFont="1"/>
    <xf numFmtId="9" fontId="2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">
    <cellStyle name="Migliaia" xfId="3" builtinId="3"/>
    <cellStyle name="Normale" xfId="0" builtinId="0"/>
    <cellStyle name="Percentuale" xfId="2" builtinId="5"/>
    <cellStyle name="Valuta" xfId="1" builtinId="4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DB1BA"/>
      <color rgb="FFC6E0D7"/>
      <color rgb="FF8B0000"/>
      <color rgb="FF004225"/>
      <color rgb="FF586BAF"/>
      <color rgb="FF819FFF"/>
      <color rgb="FFBCA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'Foglio di CALCOLO'!$D$43</c:f>
              <c:strCache>
                <c:ptCount val="1"/>
                <c:pt idx="0">
                  <c:v>Fatturato (€)</c:v>
                </c:pt>
              </c:strCache>
            </c:strRef>
          </c:tx>
          <c:spPr>
            <a:solidFill>
              <a:srgbClr val="FDB1BA"/>
            </a:solidFill>
            <a:ln>
              <a:noFill/>
            </a:ln>
            <a:effectLst/>
          </c:spPr>
          <c:invertIfNegative val="0"/>
          <c:cat>
            <c:strRef>
              <c:f>'Foglio di CALCOLO'!$B$44:$B$48</c:f>
              <c:strCache>
                <c:ptCount val="5"/>
                <c:pt idx="0">
                  <c:v>SARA</c:v>
                </c:pt>
                <c:pt idx="1">
                  <c:v>GIULIA</c:v>
                </c:pt>
                <c:pt idx="2">
                  <c:v>FRANCESCA</c:v>
                </c:pt>
                <c:pt idx="3">
                  <c:v>MARCO</c:v>
                </c:pt>
                <c:pt idx="4">
                  <c:v>NICCOLÒ</c:v>
                </c:pt>
              </c:strCache>
            </c:strRef>
          </c:cat>
          <c:val>
            <c:numRef>
              <c:f>'Foglio di CALCOLO'!$D$44:$D$48</c:f>
              <c:numCache>
                <c:formatCode>_("€"* #,##0.00_);_("€"* \(#,##0.00\);_("€"* "-"??_);_(@_)</c:formatCode>
                <c:ptCount val="5"/>
                <c:pt idx="0">
                  <c:v>13641.73</c:v>
                </c:pt>
                <c:pt idx="1">
                  <c:v>12076.31</c:v>
                </c:pt>
                <c:pt idx="2">
                  <c:v>10933.32</c:v>
                </c:pt>
                <c:pt idx="3">
                  <c:v>10840.4</c:v>
                </c:pt>
                <c:pt idx="4">
                  <c:v>6763.15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3-5240-B568-671DECB05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2140512"/>
        <c:axId val="462142224"/>
      </c:barChart>
      <c:lineChart>
        <c:grouping val="standard"/>
        <c:varyColors val="0"/>
        <c:ser>
          <c:idx val="1"/>
          <c:order val="1"/>
          <c:tx>
            <c:strRef>
              <c:f>'Foglio di CALCOLO'!$L$43</c:f>
              <c:strCache>
                <c:ptCount val="1"/>
                <c:pt idx="0">
                  <c:v>Target (€)</c:v>
                </c:pt>
              </c:strCache>
            </c:strRef>
          </c:tx>
          <c:spPr>
            <a:ln w="25400" cap="rnd">
              <a:solidFill>
                <a:srgbClr val="C6E0D7"/>
              </a:solidFill>
              <a:round/>
            </a:ln>
            <a:effectLst/>
          </c:spPr>
          <c:marker>
            <c:symbol val="none"/>
          </c:marker>
          <c:cat>
            <c:strRef>
              <c:f>'Foglio di CALCOLO'!$B$44:$B$48</c:f>
              <c:strCache>
                <c:ptCount val="5"/>
                <c:pt idx="0">
                  <c:v>SARA</c:v>
                </c:pt>
                <c:pt idx="1">
                  <c:v>GIULIA</c:v>
                </c:pt>
                <c:pt idx="2">
                  <c:v>FRANCESCA</c:v>
                </c:pt>
                <c:pt idx="3">
                  <c:v>MARCO</c:v>
                </c:pt>
                <c:pt idx="4">
                  <c:v>NICCOLÒ</c:v>
                </c:pt>
              </c:strCache>
            </c:strRef>
          </c:cat>
          <c:val>
            <c:numRef>
              <c:f>'Foglio di CALCOLO'!$L$44:$L$48</c:f>
              <c:numCache>
                <c:formatCode>_("€"* #,##0.00_);_("€"* \(#,##0.00\);_("€"* "-"??_);_(@_)</c:formatCode>
                <c:ptCount val="5"/>
                <c:pt idx="0">
                  <c:v>10193.346727272727</c:v>
                </c:pt>
                <c:pt idx="1">
                  <c:v>9316.4996969696967</c:v>
                </c:pt>
                <c:pt idx="2">
                  <c:v>11727.829030303032</c:v>
                </c:pt>
                <c:pt idx="3">
                  <c:v>17098.517090909092</c:v>
                </c:pt>
                <c:pt idx="4">
                  <c:v>5918.7174545454545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3-5240-B568-671DECB05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140512"/>
        <c:axId val="462142224"/>
      </c:lineChart>
      <c:catAx>
        <c:axId val="46214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it-IT"/>
          </a:p>
        </c:txPr>
        <c:crossAx val="462142224"/>
        <c:crosses val="autoZero"/>
        <c:auto val="1"/>
        <c:lblAlgn val="ctr"/>
        <c:lblOffset val="100"/>
        <c:noMultiLvlLbl val="0"/>
      </c:catAx>
      <c:valAx>
        <c:axId val="462142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crossAx val="4621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'Foglio di CALCOLO'!$N$43</c:f>
              <c:strCache>
                <c:ptCount val="1"/>
                <c:pt idx="0">
                  <c:v>Var. Budget (%)</c:v>
                </c:pt>
              </c:strCache>
            </c:strRef>
          </c:tx>
          <c:spPr>
            <a:solidFill>
              <a:srgbClr val="00422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'Foglio di CALCOLO'!$B$44:$B$48</c:f>
              <c:strCache>
                <c:ptCount val="5"/>
                <c:pt idx="0">
                  <c:v>SARA</c:v>
                </c:pt>
                <c:pt idx="1">
                  <c:v>GIULIA</c:v>
                </c:pt>
                <c:pt idx="2">
                  <c:v>FRANCESCA</c:v>
                </c:pt>
                <c:pt idx="3">
                  <c:v>MARCO</c:v>
                </c:pt>
                <c:pt idx="4">
                  <c:v>NICCOLÒ</c:v>
                </c:pt>
              </c:strCache>
            </c:strRef>
          </c:cat>
          <c:val>
            <c:numRef>
              <c:f>'Foglio di CALCOLO'!$N$44:$N$48</c:f>
              <c:numCache>
                <c:formatCode>0.0%</c:formatCode>
                <c:ptCount val="5"/>
                <c:pt idx="0">
                  <c:v>0.25278196187193802</c:v>
                </c:pt>
                <c:pt idx="1">
                  <c:v>0.22853092567434116</c:v>
                </c:pt>
                <c:pt idx="2">
                  <c:v>-7.2668597489420603E-2</c:v>
                </c:pt>
                <c:pt idx="3">
                  <c:v>-0.57729577238008678</c:v>
                </c:pt>
                <c:pt idx="4">
                  <c:v>0.12485787620480769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8B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29E-EE4A-8F32-3B6A8F89D9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62140512"/>
        <c:axId val="462142224"/>
      </c:barChart>
      <c:catAx>
        <c:axId val="4621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it-IT"/>
          </a:p>
        </c:txPr>
        <c:crossAx val="462142224"/>
        <c:crosses val="autoZero"/>
        <c:auto val="1"/>
        <c:lblAlgn val="ctr"/>
        <c:lblOffset val="100"/>
        <c:noMultiLvlLbl val="0"/>
      </c:catAx>
      <c:valAx>
        <c:axId val="462142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4621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'Foglio di CALCOLO'!$E$43</c:f>
              <c:strCache>
                <c:ptCount val="1"/>
                <c:pt idx="0">
                  <c:v> Scontrino Medio (€) </c:v>
                </c:pt>
              </c:strCache>
            </c:strRef>
          </c:tx>
          <c:spPr>
            <a:solidFill>
              <a:srgbClr val="FDB1B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DB1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21-EC46-B9CE-088DE3CAF24D}"/>
              </c:ext>
            </c:extLst>
          </c:dPt>
          <c:dPt>
            <c:idx val="1"/>
            <c:invertIfNegative val="0"/>
            <c:bubble3D val="0"/>
            <c:spPr>
              <a:solidFill>
                <a:srgbClr val="FDB1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21-EC46-B9CE-088DE3CAF24D}"/>
              </c:ext>
            </c:extLst>
          </c:dPt>
          <c:dPt>
            <c:idx val="2"/>
            <c:invertIfNegative val="0"/>
            <c:bubble3D val="0"/>
            <c:spPr>
              <a:solidFill>
                <a:srgbClr val="FDB1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21-EC46-B9CE-088DE3CAF24D}"/>
              </c:ext>
            </c:extLst>
          </c:dPt>
          <c:dPt>
            <c:idx val="3"/>
            <c:invertIfNegative val="0"/>
            <c:bubble3D val="0"/>
            <c:spPr>
              <a:solidFill>
                <a:srgbClr val="FDB1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85A-154F-A766-F2C3CD7411EA}"/>
              </c:ext>
            </c:extLst>
          </c:dPt>
          <c:dPt>
            <c:idx val="4"/>
            <c:invertIfNegative val="0"/>
            <c:bubble3D val="0"/>
            <c:spPr>
              <a:solidFill>
                <a:srgbClr val="FDB1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85A-154F-A766-F2C3CD7411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'Foglio di CALCOLO'!$B$44:$B$48</c:f>
              <c:strCache>
                <c:ptCount val="5"/>
                <c:pt idx="0">
                  <c:v>SARA</c:v>
                </c:pt>
                <c:pt idx="1">
                  <c:v>GIULIA</c:v>
                </c:pt>
                <c:pt idx="2">
                  <c:v>FRANCESCA</c:v>
                </c:pt>
                <c:pt idx="3">
                  <c:v>MARCO</c:v>
                </c:pt>
                <c:pt idx="4">
                  <c:v>NICCOLÒ</c:v>
                </c:pt>
              </c:strCache>
            </c:strRef>
          </c:cat>
          <c:val>
            <c:numRef>
              <c:f>'Foglio di CALCOLO'!$E$44:$E$48</c:f>
              <c:numCache>
                <c:formatCode>_("€"* #,##0.00_);_("€"* \(#,##0.00\);_("€"* "-"??_);_(@_)</c:formatCode>
                <c:ptCount val="5"/>
                <c:pt idx="0">
                  <c:v>48.374929078014183</c:v>
                </c:pt>
                <c:pt idx="1">
                  <c:v>53.434999999999995</c:v>
                </c:pt>
                <c:pt idx="2">
                  <c:v>43.9089156626506</c:v>
                </c:pt>
                <c:pt idx="3">
                  <c:v>40.149629629629629</c:v>
                </c:pt>
                <c:pt idx="4">
                  <c:v>42.007142857142853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A-154F-A766-F2C3CD7411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62140512"/>
        <c:axId val="462142224"/>
      </c:barChart>
      <c:lineChart>
        <c:grouping val="standard"/>
        <c:varyColors val="0"/>
        <c:ser>
          <c:idx val="1"/>
          <c:order val="1"/>
          <c:tx>
            <c:strRef>
              <c:f>'Foglio di CALCOLO'!$F$43</c:f>
              <c:strCache>
                <c:ptCount val="1"/>
                <c:pt idx="0">
                  <c:v> Media Store </c:v>
                </c:pt>
              </c:strCache>
            </c:strRef>
          </c:tx>
          <c:spPr>
            <a:ln w="25400" cap="rnd">
              <a:solidFill>
                <a:srgbClr val="C6E0D7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'Foglio di CALCOLO'!$B$44:$B$48</c:f>
              <c:strCache>
                <c:ptCount val="5"/>
                <c:pt idx="0">
                  <c:v>SARA</c:v>
                </c:pt>
                <c:pt idx="1">
                  <c:v>GIULIA</c:v>
                </c:pt>
                <c:pt idx="2">
                  <c:v>FRANCESCA</c:v>
                </c:pt>
                <c:pt idx="3">
                  <c:v>MARCO</c:v>
                </c:pt>
                <c:pt idx="4">
                  <c:v>NICCOLÒ</c:v>
                </c:pt>
              </c:strCache>
            </c:strRef>
          </c:cat>
          <c:val>
            <c:numRef>
              <c:f>'Foglio di CALCOLO'!$F$44:$F$48</c:f>
              <c:numCache>
                <c:formatCode>_("€"* #,##0.00_);_("€"* \(#,##0.00\);_("€"* "-"??_);_(@_)</c:formatCode>
                <c:ptCount val="5"/>
                <c:pt idx="0">
                  <c:v>45.669116161616166</c:v>
                </c:pt>
                <c:pt idx="1">
                  <c:v>45.669116161616166</c:v>
                </c:pt>
                <c:pt idx="2">
                  <c:v>45.669116161616166</c:v>
                </c:pt>
                <c:pt idx="3">
                  <c:v>45.669116161616166</c:v>
                </c:pt>
                <c:pt idx="4">
                  <c:v>45.669116161616166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5A-154F-A766-F2C3CD7411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2140512"/>
        <c:axId val="462142224"/>
      </c:lineChart>
      <c:catAx>
        <c:axId val="4621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it-IT"/>
          </a:p>
        </c:txPr>
        <c:crossAx val="462142224"/>
        <c:crosses val="autoZero"/>
        <c:auto val="1"/>
        <c:lblAlgn val="ctr"/>
        <c:lblOffset val="100"/>
        <c:noMultiLvlLbl val="0"/>
      </c:catAx>
      <c:valAx>
        <c:axId val="462142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crossAx val="4621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it-I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'Foglio di CALCOLO'!$G$43</c:f>
              <c:strCache>
                <c:ptCount val="1"/>
                <c:pt idx="0">
                  <c:v> UPT </c:v>
                </c:pt>
              </c:strCache>
            </c:strRef>
          </c:tx>
          <c:spPr>
            <a:solidFill>
              <a:srgbClr val="FDB1B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'Foglio di CALCOLO'!$B$44:$B$48</c:f>
              <c:strCache>
                <c:ptCount val="5"/>
                <c:pt idx="0">
                  <c:v>SARA</c:v>
                </c:pt>
                <c:pt idx="1">
                  <c:v>GIULIA</c:v>
                </c:pt>
                <c:pt idx="2">
                  <c:v>FRANCESCA</c:v>
                </c:pt>
                <c:pt idx="3">
                  <c:v>MARCO</c:v>
                </c:pt>
                <c:pt idx="4">
                  <c:v>NICCOLÒ</c:v>
                </c:pt>
              </c:strCache>
            </c:strRef>
          </c:cat>
          <c:val>
            <c:numRef>
              <c:f>'Foglio di CALCOLO'!$G$44:$G$48</c:f>
              <c:numCache>
                <c:formatCode>_(* #,##0.00_);_(* \(#,##0.00\);_(* "-"??_);_(@_)</c:formatCode>
                <c:ptCount val="5"/>
                <c:pt idx="0">
                  <c:v>1.9432624113475176</c:v>
                </c:pt>
                <c:pt idx="1">
                  <c:v>2.1415929203539825</c:v>
                </c:pt>
                <c:pt idx="2">
                  <c:v>1.8995983935742973</c:v>
                </c:pt>
                <c:pt idx="3">
                  <c:v>1.6925925925925926</c:v>
                </c:pt>
                <c:pt idx="4">
                  <c:v>1.7639751552795031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1-3D41-BED3-089A790918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62140512"/>
        <c:axId val="462142224"/>
      </c:barChart>
      <c:lineChart>
        <c:grouping val="standard"/>
        <c:varyColors val="0"/>
        <c:ser>
          <c:idx val="1"/>
          <c:order val="1"/>
          <c:tx>
            <c:strRef>
              <c:f>'Foglio di CALCOLO'!$H$43</c:f>
              <c:strCache>
                <c:ptCount val="1"/>
                <c:pt idx="0">
                  <c:v> Media Store </c:v>
                </c:pt>
              </c:strCache>
            </c:strRef>
          </c:tx>
          <c:spPr>
            <a:ln w="25400" cap="rnd">
              <a:solidFill>
                <a:srgbClr val="C6E0D7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'Foglio di CALCOLO'!$H$43</c:f>
              <c:strCache>
                <c:ptCount val="1"/>
                <c:pt idx="0">
                  <c:v> Media Store </c:v>
                </c:pt>
              </c:strCache>
            </c:strRef>
          </c:cat>
          <c:val>
            <c:numRef>
              <c:f>'Foglio di CALCOLO'!$H$44:$H$48</c:f>
              <c:numCache>
                <c:formatCode>_("€"* #,##0.00_);_("€"* \(#,##0.00\);_("€"* "-"??_);_(@_)</c:formatCode>
                <c:ptCount val="5"/>
                <c:pt idx="0">
                  <c:v>1.8905723905723906</c:v>
                </c:pt>
                <c:pt idx="1">
                  <c:v>1.8905723905723906</c:v>
                </c:pt>
                <c:pt idx="2">
                  <c:v>1.8905723905723906</c:v>
                </c:pt>
                <c:pt idx="3">
                  <c:v>1.8905723905723906</c:v>
                </c:pt>
                <c:pt idx="4">
                  <c:v>1.8905723905723906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61-3D41-BED3-089A790918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2140512"/>
        <c:axId val="462142224"/>
      </c:lineChart>
      <c:catAx>
        <c:axId val="4621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it-IT"/>
          </a:p>
        </c:txPr>
        <c:crossAx val="462142224"/>
        <c:crosses val="autoZero"/>
        <c:auto val="1"/>
        <c:lblAlgn val="ctr"/>
        <c:lblOffset val="100"/>
        <c:noMultiLvlLbl val="0"/>
      </c:catAx>
      <c:valAx>
        <c:axId val="462142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crossAx val="4621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it-I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POWERPOINT!$E$2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8B0000"/>
            </a:solidFill>
            <a:ln>
              <a:noFill/>
            </a:ln>
            <a:effectLst/>
          </c:spPr>
          <c:invertIfNegative val="0"/>
          <c:cat>
            <c:strRef>
              <c:f>(POWERPOINT!$A$3,POWERPOINT!$A$4,POWERPOINT!$A$5,POWERPOINT!$A$6,POWERPOINT!$A$7)</c:f>
              <c:strCache>
                <c:ptCount val="5"/>
                <c:pt idx="0">
                  <c:v> W27 </c:v>
                </c:pt>
                <c:pt idx="1">
                  <c:v> W28 </c:v>
                </c:pt>
                <c:pt idx="2">
                  <c:v> W29 </c:v>
                </c:pt>
                <c:pt idx="3">
                  <c:v> W30 </c:v>
                </c:pt>
                <c:pt idx="4">
                  <c:v> W31 </c:v>
                </c:pt>
              </c:strCache>
            </c:strRef>
          </c:cat>
          <c:val>
            <c:numRef>
              <c:f>(POWERPOINT!$E$3,POWERPOINT!$E$4,POWERPOINT!$E$5,POWERPOINT!$E$6,POWERPOINT!$E$7)</c:f>
              <c:numCache>
                <c:formatCode>_-* #,##0\ "€"_-;\-* #,##0\ "€"_-;_-* "-"??\ "€"_-;_-@_-</c:formatCode>
                <c:ptCount val="5"/>
                <c:pt idx="0">
                  <c:v>-6421</c:v>
                </c:pt>
                <c:pt idx="1">
                  <c:v>-5045.8999999999996</c:v>
                </c:pt>
                <c:pt idx="2">
                  <c:v>-3249</c:v>
                </c:pt>
                <c:pt idx="3">
                  <c:v>-3051</c:v>
                </c:pt>
                <c:pt idx="4">
                  <c:v>-1849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4-F140-AD65-88A13DA2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564160"/>
        <c:axId val="1208565888"/>
      </c:barChart>
      <c:catAx>
        <c:axId val="1208564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8565888"/>
        <c:crosses val="autoZero"/>
        <c:auto val="1"/>
        <c:lblAlgn val="ctr"/>
        <c:lblOffset val="100"/>
        <c:noMultiLvlLbl val="0"/>
      </c:catAx>
      <c:valAx>
        <c:axId val="1208565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crossAx val="120856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POWERPOINT!$B$2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solidFill>
                <a:srgbClr val="FDB1BA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DB1B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D7-EC4A-86EC-88DD94C4013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5400" cap="rnd">
                <a:solidFill>
                  <a:srgbClr val="FDB1B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D7-EC4A-86EC-88DD94C4013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5400" cap="rnd">
                <a:solidFill>
                  <a:srgbClr val="FDB1B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D7-EC4A-86EC-88DD94C4013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5400" cap="rnd">
                <a:solidFill>
                  <a:srgbClr val="FDB1B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D7-EC4A-86EC-88DD94C40132}"/>
              </c:ext>
            </c:extLst>
          </c:dPt>
          <c:cat>
            <c:strRef>
              <c:f>POWERPOINT!$A$3:$A$7</c:f>
              <c:strCache>
                <c:ptCount val="5"/>
                <c:pt idx="0">
                  <c:v> W27 </c:v>
                </c:pt>
                <c:pt idx="1">
                  <c:v> W28 </c:v>
                </c:pt>
                <c:pt idx="2">
                  <c:v> W29 </c:v>
                </c:pt>
                <c:pt idx="3">
                  <c:v> W30 </c:v>
                </c:pt>
                <c:pt idx="4">
                  <c:v> W31 </c:v>
                </c:pt>
              </c:strCache>
            </c:strRef>
          </c:cat>
          <c:val>
            <c:numRef>
              <c:f>POWERPOINT!$B$3:$B$7</c:f>
              <c:numCache>
                <c:formatCode>_-* #,##0\ "€"_-;\-* #,##0\ "€"_-;_-* "-"??\ "€"_-;_-@_-</c:formatCode>
                <c:ptCount val="5"/>
                <c:pt idx="0">
                  <c:v>8963</c:v>
                </c:pt>
                <c:pt idx="1">
                  <c:v>14580.1</c:v>
                </c:pt>
                <c:pt idx="2">
                  <c:v>12641</c:v>
                </c:pt>
                <c:pt idx="3">
                  <c:v>12364</c:v>
                </c:pt>
                <c:pt idx="4">
                  <c:v>5707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A3-C945-8411-2B867A004FE2}"/>
            </c:ext>
          </c:extLst>
        </c:ser>
        <c:ser>
          <c:idx val="1"/>
          <c:order val="1"/>
          <c:tx>
            <c:strRef>
              <c:f>POWERPOINT!$C$2</c:f>
              <c:strCache>
                <c:ptCount val="1"/>
                <c:pt idx="0">
                  <c:v>Target</c:v>
                </c:pt>
              </c:strCache>
            </c:strRef>
          </c:tx>
          <c:spPr>
            <a:ln w="25400" cap="rnd">
              <a:solidFill>
                <a:srgbClr val="C6E0D7"/>
              </a:solidFill>
              <a:round/>
            </a:ln>
            <a:effectLst/>
          </c:spPr>
          <c:marker>
            <c:symbol val="none"/>
          </c:marker>
          <c:cat>
            <c:strRef>
              <c:f>POWERPOINT!$A$3:$A$7</c:f>
              <c:strCache>
                <c:ptCount val="5"/>
                <c:pt idx="0">
                  <c:v> W27 </c:v>
                </c:pt>
                <c:pt idx="1">
                  <c:v> W28 </c:v>
                </c:pt>
                <c:pt idx="2">
                  <c:v> W29 </c:v>
                </c:pt>
                <c:pt idx="3">
                  <c:v> W30 </c:v>
                </c:pt>
                <c:pt idx="4">
                  <c:v> W31 </c:v>
                </c:pt>
              </c:strCache>
            </c:strRef>
          </c:cat>
          <c:val>
            <c:numRef>
              <c:f>POWERPOINT!$C$3:$C$7</c:f>
              <c:numCache>
                <c:formatCode>_-* #,##0\ "€"_-;\-* #,##0\ "€"_-;_-* "-"??\ "€"_-;_-@_-</c:formatCode>
                <c:ptCount val="5"/>
                <c:pt idx="0">
                  <c:v>15384</c:v>
                </c:pt>
                <c:pt idx="1">
                  <c:v>19626</c:v>
                </c:pt>
                <c:pt idx="2">
                  <c:v>15890</c:v>
                </c:pt>
                <c:pt idx="3">
                  <c:v>15415</c:v>
                </c:pt>
                <c:pt idx="4">
                  <c:v>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A3-C945-8411-2B867A004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089168"/>
        <c:axId val="1377039600"/>
      </c:lineChart>
      <c:catAx>
        <c:axId val="63208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it-IT"/>
          </a:p>
        </c:txPr>
        <c:crossAx val="1377039600"/>
        <c:crosses val="autoZero"/>
        <c:auto val="1"/>
        <c:lblAlgn val="ctr"/>
        <c:lblOffset val="100"/>
        <c:noMultiLvlLbl val="0"/>
      </c:catAx>
      <c:valAx>
        <c:axId val="137703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&quot;€&quot;_-;\-* #,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it-IT"/>
          </a:p>
        </c:txPr>
        <c:crossAx val="63208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/>
          </c:spPr>
          <c:dPt>
            <c:idx val="0"/>
            <c:bubble3D val="0"/>
            <c:spPr>
              <a:solidFill>
                <a:srgbClr val="C6E0D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A79-C84A-B729-8B6F2CE2DC0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BA-4C49-8C16-39F228AFCFBE}"/>
              </c:ext>
            </c:extLst>
          </c:dPt>
          <c:val>
            <c:numRef>
              <c:f>(POWERPOINT!$C$9,POWERPOINT!$C$10)</c:f>
              <c:numCache>
                <c:formatCode>0%</c:formatCode>
                <c:ptCount val="2"/>
                <c:pt idx="0">
                  <c:v>0.73445736486577951</c:v>
                </c:pt>
                <c:pt idx="1">
                  <c:v>0.26554263513422049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9-C84A-B729-8B6F2CE2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C6E0D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B7-9C4C-B3DA-FE382F243C0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B7-9C4C-B3DA-FE382F243C06}"/>
              </c:ext>
            </c:extLst>
          </c:dPt>
          <c:val>
            <c:numRef>
              <c:f>POWERPOINT!$D$9:$D$10</c:f>
              <c:numCache>
                <c:formatCode>0%</c:formatCode>
                <c:ptCount val="2"/>
                <c:pt idx="0">
                  <c:v>0.85014024036728875</c:v>
                </c:pt>
                <c:pt idx="1">
                  <c:v>0.14985975963271125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B7-9C4C-B3DA-FE382F24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55218</xdr:colOff>
      <xdr:row>50</xdr:row>
      <xdr:rowOff>181428</xdr:rowOff>
    </xdr:from>
    <xdr:to>
      <xdr:col>4</xdr:col>
      <xdr:colOff>1298714</xdr:colOff>
      <xdr:row>61</xdr:row>
      <xdr:rowOff>14514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0FEEF71-AE9D-FE4F-B509-D8D64FB51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757268</xdr:colOff>
      <xdr:row>51</xdr:row>
      <xdr:rowOff>7887</xdr:rowOff>
    </xdr:from>
    <xdr:to>
      <xdr:col>14</xdr:col>
      <xdr:colOff>28714</xdr:colOff>
      <xdr:row>61</xdr:row>
      <xdr:rowOff>22402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9BDF3EC-9413-4547-8A26-B137E6A85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55217</xdr:colOff>
      <xdr:row>64</xdr:row>
      <xdr:rowOff>7888</xdr:rowOff>
    </xdr:from>
    <xdr:to>
      <xdr:col>4</xdr:col>
      <xdr:colOff>1298713</xdr:colOff>
      <xdr:row>74</xdr:row>
      <xdr:rowOff>22402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C0AA3565-2A37-E64C-A3E7-74A4F40B9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710012</xdr:colOff>
      <xdr:row>64</xdr:row>
      <xdr:rowOff>7888</xdr:rowOff>
    </xdr:from>
    <xdr:to>
      <xdr:col>13</xdr:col>
      <xdr:colOff>562773</xdr:colOff>
      <xdr:row>74</xdr:row>
      <xdr:rowOff>22402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2583CE2A-98AF-1045-BEA6-D901ABDE9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6535</xdr:colOff>
      <xdr:row>2</xdr:row>
      <xdr:rowOff>5789</xdr:rowOff>
    </xdr:from>
    <xdr:to>
      <xdr:col>12</xdr:col>
      <xdr:colOff>13707</xdr:colOff>
      <xdr:row>11</xdr:row>
      <xdr:rowOff>22598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A408992-8284-9390-7CCA-98F3B3F30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1867</xdr:colOff>
      <xdr:row>12</xdr:row>
      <xdr:rowOff>248585</xdr:rowOff>
    </xdr:from>
    <xdr:to>
      <xdr:col>12</xdr:col>
      <xdr:colOff>9039</xdr:colOff>
      <xdr:row>22</xdr:row>
      <xdr:rowOff>13261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EEDACD0-FFBD-B00F-BD98-E0580EC75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590177</xdr:colOff>
      <xdr:row>11</xdr:row>
      <xdr:rowOff>1121</xdr:rowOff>
    </xdr:from>
    <xdr:to>
      <xdr:col>2</xdr:col>
      <xdr:colOff>550956</xdr:colOff>
      <xdr:row>19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0FE7C8C-C3B4-FAB1-B840-97A7C6A6B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560294</xdr:colOff>
      <xdr:row>11</xdr:row>
      <xdr:rowOff>0</xdr:rowOff>
    </xdr:from>
    <xdr:to>
      <xdr:col>4</xdr:col>
      <xdr:colOff>521074</xdr:colOff>
      <xdr:row>18</xdr:row>
      <xdr:rowOff>251012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0B22A8F-F70E-A54B-93A8-35D000CC4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B928-7E24-9F4E-AAE1-469078B4A199}">
  <dimension ref="A1:R64"/>
  <sheetViews>
    <sheetView tabSelected="1" topLeftCell="A25" zoomScale="150" zoomScaleNormal="150" workbookViewId="0">
      <selection activeCell="K35" sqref="K35"/>
    </sheetView>
    <sheetView tabSelected="1" topLeftCell="B3" workbookViewId="1">
      <selection activeCell="C41" sqref="C41"/>
    </sheetView>
  </sheetViews>
  <sheetFormatPr baseColWidth="10" defaultRowHeight="14"/>
  <cols>
    <col min="1" max="1" width="14" style="1" bestFit="1" customWidth="1"/>
    <col min="2" max="2" width="11.33203125" style="7" bestFit="1" customWidth="1"/>
    <col min="3" max="3" width="15.1640625" style="7" bestFit="1" customWidth="1"/>
    <col min="4" max="4" width="10.6640625" style="3" bestFit="1" customWidth="1"/>
    <col min="5" max="5" width="17.1640625" style="3" bestFit="1" customWidth="1"/>
    <col min="6" max="6" width="11.33203125" style="3" hidden="1" customWidth="1"/>
    <col min="7" max="7" width="8.33203125" style="1" bestFit="1" customWidth="1"/>
    <col min="8" max="8" width="11.33203125" style="1" hidden="1" customWidth="1"/>
    <col min="9" max="9" width="8.33203125" style="20" bestFit="1" customWidth="1"/>
    <col min="10" max="10" width="7.83203125" style="1" bestFit="1" customWidth="1"/>
    <col min="11" max="11" width="10" style="1" bestFit="1" customWidth="1"/>
    <col min="12" max="12" width="10.1640625" style="1" bestFit="1" customWidth="1"/>
    <col min="13" max="13" width="8.83203125" style="1" bestFit="1" customWidth="1"/>
    <col min="14" max="14" width="6.5" style="1" bestFit="1" customWidth="1"/>
    <col min="15" max="15" width="9.33203125" style="1" bestFit="1" customWidth="1"/>
    <col min="16" max="16" width="10.5" style="1" bestFit="1" customWidth="1"/>
    <col min="17" max="17" width="10.6640625" style="1" bestFit="1" customWidth="1"/>
    <col min="18" max="18" width="10.1640625" style="1" bestFit="1" customWidth="1"/>
    <col min="19" max="16384" width="10.83203125" style="1"/>
  </cols>
  <sheetData>
    <row r="1" spans="1:18" s="2" customFormat="1" ht="16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5"/>
      <c r="M1" s="5"/>
      <c r="N1" s="5"/>
      <c r="O1" s="5"/>
      <c r="P1" s="5"/>
    </row>
    <row r="2" spans="1:18" s="2" customFormat="1" ht="16">
      <c r="A2" s="64" t="s">
        <v>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5"/>
      <c r="M2" s="5"/>
      <c r="N2" s="5"/>
      <c r="O2" s="5"/>
      <c r="P2" s="5"/>
    </row>
    <row r="3" spans="1:18" s="6" customFormat="1" ht="30">
      <c r="A3" s="61" t="s">
        <v>8</v>
      </c>
      <c r="B3" s="61"/>
      <c r="C3" s="11" t="s">
        <v>1</v>
      </c>
      <c r="D3" s="11" t="s">
        <v>2</v>
      </c>
      <c r="E3" s="17" t="s">
        <v>3</v>
      </c>
      <c r="F3" s="17"/>
      <c r="G3" s="17" t="s">
        <v>5</v>
      </c>
      <c r="H3" s="17"/>
      <c r="I3" s="5" t="s">
        <v>4</v>
      </c>
      <c r="J3" s="5" t="s">
        <v>6</v>
      </c>
      <c r="K3" s="17" t="s">
        <v>19</v>
      </c>
      <c r="L3" s="5"/>
      <c r="O3" s="5"/>
    </row>
    <row r="4" spans="1:18" s="6" customFormat="1">
      <c r="A4" s="60" t="s">
        <v>33</v>
      </c>
      <c r="B4" s="60"/>
      <c r="C4" s="21"/>
      <c r="D4" s="12"/>
      <c r="E4" s="8"/>
      <c r="F4" s="8"/>
      <c r="G4" s="18"/>
      <c r="H4" s="18"/>
      <c r="I4" s="8"/>
      <c r="J4" s="8"/>
      <c r="K4" s="8"/>
      <c r="L4" s="8"/>
      <c r="Q4" s="8"/>
      <c r="R4" s="8"/>
    </row>
    <row r="5" spans="1:18">
      <c r="A5" s="13" t="s">
        <v>9</v>
      </c>
      <c r="B5" s="7">
        <v>46204</v>
      </c>
      <c r="C5" s="3">
        <v>933</v>
      </c>
      <c r="D5" s="3">
        <v>1215</v>
      </c>
      <c r="E5" s="4">
        <f>C5/D5</f>
        <v>0.76790123456790127</v>
      </c>
      <c r="F5" s="4"/>
      <c r="G5" s="19">
        <f>C5-D5</f>
        <v>-282</v>
      </c>
      <c r="H5" s="19"/>
      <c r="I5" s="3">
        <v>1226</v>
      </c>
      <c r="J5" s="4">
        <f t="shared" ref="J5:J41" si="0">C5/I5</f>
        <v>0.76101141924959215</v>
      </c>
      <c r="K5" s="3">
        <f>+C5-I5</f>
        <v>-293</v>
      </c>
    </row>
    <row r="6" spans="1:18">
      <c r="A6" s="13" t="s">
        <v>10</v>
      </c>
      <c r="B6" s="7">
        <v>46205</v>
      </c>
      <c r="C6" s="3">
        <v>1432</v>
      </c>
      <c r="D6" s="3">
        <v>1126</v>
      </c>
      <c r="E6" s="4">
        <f t="shared" ref="E6:E39" si="1">C6/D6</f>
        <v>1.2717584369449377</v>
      </c>
      <c r="F6" s="4"/>
      <c r="G6" s="19">
        <f t="shared" ref="G6:G39" si="2">C6-D6</f>
        <v>306</v>
      </c>
      <c r="H6" s="19"/>
      <c r="I6" s="3">
        <v>849</v>
      </c>
      <c r="J6" s="4">
        <f t="shared" si="0"/>
        <v>1.6866902237926973</v>
      </c>
      <c r="K6" s="3">
        <f>+C6-I6</f>
        <v>583</v>
      </c>
      <c r="Q6" s="8"/>
    </row>
    <row r="7" spans="1:18">
      <c r="A7" s="13" t="s">
        <v>11</v>
      </c>
      <c r="B7" s="7">
        <v>46206</v>
      </c>
      <c r="C7" s="3">
        <v>1331</v>
      </c>
      <c r="D7" s="3">
        <v>1295</v>
      </c>
      <c r="E7" s="4">
        <f t="shared" si="1"/>
        <v>1.0277992277992278</v>
      </c>
      <c r="F7" s="4"/>
      <c r="G7" s="19">
        <f t="shared" si="2"/>
        <v>36</v>
      </c>
      <c r="H7" s="19"/>
      <c r="I7" s="3">
        <v>1074</v>
      </c>
      <c r="J7" s="4">
        <f t="shared" si="0"/>
        <v>1.2392923649906891</v>
      </c>
      <c r="K7" s="3">
        <f>+C7-I7</f>
        <v>257</v>
      </c>
    </row>
    <row r="8" spans="1:18">
      <c r="A8" s="13" t="s">
        <v>12</v>
      </c>
      <c r="B8" s="7">
        <v>46207</v>
      </c>
      <c r="C8" s="3">
        <v>3256</v>
      </c>
      <c r="D8" s="3">
        <v>5437</v>
      </c>
      <c r="E8" s="4">
        <f t="shared" si="1"/>
        <v>0.5988596652565753</v>
      </c>
      <c r="F8" s="4"/>
      <c r="G8" s="19">
        <f t="shared" si="2"/>
        <v>-2181</v>
      </c>
      <c r="H8" s="19"/>
      <c r="I8" s="3">
        <v>4247</v>
      </c>
      <c r="J8" s="4">
        <f t="shared" si="0"/>
        <v>0.76665881798916879</v>
      </c>
      <c r="K8" s="3">
        <f>+C8-I8</f>
        <v>-991</v>
      </c>
      <c r="Q8" s="8"/>
    </row>
    <row r="9" spans="1:18">
      <c r="A9" s="13" t="s">
        <v>13</v>
      </c>
      <c r="B9" s="7">
        <v>46208</v>
      </c>
      <c r="C9" s="3">
        <v>2011</v>
      </c>
      <c r="D9" s="3">
        <v>6311</v>
      </c>
      <c r="E9" s="4">
        <f>C9/D9</f>
        <v>0.31864997623197594</v>
      </c>
      <c r="F9" s="4"/>
      <c r="G9" s="19">
        <f t="shared" si="2"/>
        <v>-4300</v>
      </c>
      <c r="H9" s="19"/>
      <c r="I9" s="3">
        <v>4038</v>
      </c>
      <c r="J9" s="4">
        <f t="shared" si="0"/>
        <v>0.49801882119861318</v>
      </c>
      <c r="K9" s="3">
        <f>+C9-I9</f>
        <v>-2027</v>
      </c>
    </row>
    <row r="10" spans="1:18" s="6" customFormat="1">
      <c r="A10" s="60" t="s">
        <v>34</v>
      </c>
      <c r="B10" s="60">
        <v>28</v>
      </c>
      <c r="C10" s="37">
        <f>SUM(C5:C9)</f>
        <v>8963</v>
      </c>
      <c r="D10" s="37">
        <f>SUM(D5:D9)</f>
        <v>15384</v>
      </c>
      <c r="E10" s="38">
        <f>C10/D10</f>
        <v>0.58261830473218934</v>
      </c>
      <c r="F10" s="38"/>
      <c r="G10" s="37">
        <f>C10-D10</f>
        <v>-6421</v>
      </c>
      <c r="H10" s="37"/>
      <c r="I10" s="37">
        <f>SUM(I5:I9)</f>
        <v>11434</v>
      </c>
      <c r="J10" s="38">
        <f t="shared" si="0"/>
        <v>0.78389015217771563</v>
      </c>
      <c r="K10" s="37">
        <f>SUM(K5:K9)</f>
        <v>-2471</v>
      </c>
      <c r="L10" s="8"/>
      <c r="M10" s="8"/>
      <c r="N10" s="8"/>
      <c r="O10" s="8"/>
    </row>
    <row r="11" spans="1:18">
      <c r="A11" s="13" t="s">
        <v>14</v>
      </c>
      <c r="B11" s="7">
        <v>46209</v>
      </c>
      <c r="C11" s="3">
        <v>1603</v>
      </c>
      <c r="D11" s="3">
        <v>2320</v>
      </c>
      <c r="E11" s="4">
        <f t="shared" si="1"/>
        <v>0.69094827586206897</v>
      </c>
      <c r="F11" s="4"/>
      <c r="G11" s="19">
        <f t="shared" si="2"/>
        <v>-717</v>
      </c>
      <c r="H11" s="19"/>
      <c r="I11" s="3">
        <v>1611</v>
      </c>
      <c r="J11" s="4">
        <f t="shared" si="0"/>
        <v>0.99503414028553694</v>
      </c>
      <c r="K11" s="3">
        <f t="shared" ref="K11:K17" si="3">+C11-I11</f>
        <v>-8</v>
      </c>
    </row>
    <row r="12" spans="1:18">
      <c r="A12" s="13" t="s">
        <v>15</v>
      </c>
      <c r="B12" s="7">
        <v>46210</v>
      </c>
      <c r="C12" s="3">
        <v>1542</v>
      </c>
      <c r="D12" s="3">
        <v>2024</v>
      </c>
      <c r="E12" s="4">
        <f t="shared" si="1"/>
        <v>0.76185770750988147</v>
      </c>
      <c r="F12" s="4"/>
      <c r="G12" s="19">
        <f t="shared" si="2"/>
        <v>-482</v>
      </c>
      <c r="H12" s="19"/>
      <c r="I12" s="3">
        <v>1518</v>
      </c>
      <c r="J12" s="4">
        <f t="shared" si="0"/>
        <v>1.0158102766798418</v>
      </c>
      <c r="K12" s="3">
        <f t="shared" si="3"/>
        <v>24</v>
      </c>
    </row>
    <row r="13" spans="1:18">
      <c r="A13" s="13" t="s">
        <v>9</v>
      </c>
      <c r="B13" s="7">
        <v>46211</v>
      </c>
      <c r="C13" s="3">
        <v>1483.1</v>
      </c>
      <c r="D13" s="3">
        <v>1806</v>
      </c>
      <c r="E13" s="4">
        <f t="shared" si="1"/>
        <v>0.82120708748615723</v>
      </c>
      <c r="F13" s="4"/>
      <c r="G13" s="19">
        <f t="shared" si="2"/>
        <v>-322.90000000000009</v>
      </c>
      <c r="H13" s="19"/>
      <c r="I13" s="3">
        <v>1654</v>
      </c>
      <c r="J13" s="4">
        <f t="shared" si="0"/>
        <v>0.89667472793228531</v>
      </c>
      <c r="K13" s="3">
        <f t="shared" si="3"/>
        <v>-170.90000000000009</v>
      </c>
    </row>
    <row r="14" spans="1:18">
      <c r="A14" s="13" t="s">
        <v>10</v>
      </c>
      <c r="B14" s="7">
        <v>46212</v>
      </c>
      <c r="C14" s="3">
        <v>1735</v>
      </c>
      <c r="D14" s="3">
        <v>1747</v>
      </c>
      <c r="E14" s="4">
        <f t="shared" si="1"/>
        <v>0.99313108185460786</v>
      </c>
      <c r="F14" s="4"/>
      <c r="G14" s="19">
        <f t="shared" si="2"/>
        <v>-12</v>
      </c>
      <c r="H14" s="19"/>
      <c r="I14" s="3">
        <v>1271</v>
      </c>
      <c r="J14" s="4">
        <f t="shared" si="0"/>
        <v>1.3650668764752163</v>
      </c>
      <c r="K14" s="3">
        <f t="shared" si="3"/>
        <v>464</v>
      </c>
    </row>
    <row r="15" spans="1:18">
      <c r="A15" s="13" t="s">
        <v>11</v>
      </c>
      <c r="B15" s="7">
        <v>46213</v>
      </c>
      <c r="C15" s="3">
        <v>1727</v>
      </c>
      <c r="D15" s="3">
        <v>1852</v>
      </c>
      <c r="E15" s="4">
        <f t="shared" si="1"/>
        <v>0.93250539956803458</v>
      </c>
      <c r="F15" s="4"/>
      <c r="G15" s="19">
        <f t="shared" si="2"/>
        <v>-125</v>
      </c>
      <c r="H15" s="19"/>
      <c r="I15" s="3">
        <v>1526</v>
      </c>
      <c r="J15" s="4">
        <f t="shared" si="0"/>
        <v>1.1317169069462647</v>
      </c>
      <c r="K15" s="3">
        <f t="shared" si="3"/>
        <v>201</v>
      </c>
    </row>
    <row r="16" spans="1:18">
      <c r="A16" s="13" t="s">
        <v>12</v>
      </c>
      <c r="B16" s="7">
        <v>46214</v>
      </c>
      <c r="C16" s="3">
        <v>3687</v>
      </c>
      <c r="D16" s="3">
        <v>4262</v>
      </c>
      <c r="E16" s="4">
        <f t="shared" si="1"/>
        <v>0.86508681370248708</v>
      </c>
      <c r="F16" s="4"/>
      <c r="G16" s="19">
        <f t="shared" si="2"/>
        <v>-575</v>
      </c>
      <c r="H16" s="19"/>
      <c r="I16" s="3">
        <v>3047</v>
      </c>
      <c r="J16" s="4">
        <f t="shared" si="0"/>
        <v>1.2100426649163112</v>
      </c>
      <c r="K16" s="3">
        <f t="shared" si="3"/>
        <v>640</v>
      </c>
    </row>
    <row r="17" spans="1:15">
      <c r="A17" s="13" t="s">
        <v>13</v>
      </c>
      <c r="B17" s="7">
        <v>46215</v>
      </c>
      <c r="C17" s="3">
        <v>2803</v>
      </c>
      <c r="D17" s="3">
        <v>5615</v>
      </c>
      <c r="E17" s="4">
        <f t="shared" si="1"/>
        <v>0.49919857524487976</v>
      </c>
      <c r="F17" s="4"/>
      <c r="G17" s="19">
        <f t="shared" si="2"/>
        <v>-2812</v>
      </c>
      <c r="H17" s="19"/>
      <c r="I17" s="3">
        <v>3560</v>
      </c>
      <c r="J17" s="4">
        <f t="shared" si="0"/>
        <v>0.78735955056179774</v>
      </c>
      <c r="K17" s="3">
        <f t="shared" si="3"/>
        <v>-757</v>
      </c>
    </row>
    <row r="18" spans="1:15" s="6" customFormat="1">
      <c r="A18" s="60" t="s">
        <v>35</v>
      </c>
      <c r="B18" s="60">
        <v>29</v>
      </c>
      <c r="C18" s="37">
        <f>SUM(C11:C17)</f>
        <v>14580.1</v>
      </c>
      <c r="D18" s="37">
        <f>SUM(D11:D17)</f>
        <v>19626</v>
      </c>
      <c r="E18" s="38">
        <f>C18/D18</f>
        <v>0.74289717721389992</v>
      </c>
      <c r="F18" s="38"/>
      <c r="G18" s="37">
        <f>C18-D18</f>
        <v>-5045.8999999999996</v>
      </c>
      <c r="H18" s="37"/>
      <c r="I18" s="37">
        <f>SUM(I11:I17)</f>
        <v>14187</v>
      </c>
      <c r="J18" s="38">
        <f t="shared" si="0"/>
        <v>1.0277084654965813</v>
      </c>
      <c r="K18" s="37">
        <f>SUM(K11:K17)</f>
        <v>393.09999999999991</v>
      </c>
      <c r="L18" s="3"/>
      <c r="M18" s="8"/>
      <c r="N18" s="8"/>
      <c r="O18" s="8"/>
    </row>
    <row r="19" spans="1:15">
      <c r="A19" s="13" t="s">
        <v>14</v>
      </c>
      <c r="B19" s="7">
        <v>46216</v>
      </c>
      <c r="C19" s="3">
        <v>1245</v>
      </c>
      <c r="D19" s="3">
        <v>1626</v>
      </c>
      <c r="E19" s="4">
        <f t="shared" si="1"/>
        <v>0.76568265682656822</v>
      </c>
      <c r="F19" s="4"/>
      <c r="G19" s="19">
        <f t="shared" si="2"/>
        <v>-381</v>
      </c>
      <c r="H19" s="19"/>
      <c r="I19" s="3">
        <v>1523</v>
      </c>
      <c r="J19" s="4">
        <f t="shared" si="0"/>
        <v>0.81746552856204857</v>
      </c>
      <c r="K19" s="3">
        <f t="shared" ref="K19:K25" si="4">+C19-I19</f>
        <v>-278</v>
      </c>
    </row>
    <row r="20" spans="1:15">
      <c r="A20" s="13" t="s">
        <v>15</v>
      </c>
      <c r="B20" s="7">
        <v>46217</v>
      </c>
      <c r="C20" s="3">
        <v>1232</v>
      </c>
      <c r="D20" s="3">
        <v>1561</v>
      </c>
      <c r="E20" s="4">
        <f t="shared" si="1"/>
        <v>0.78923766816143492</v>
      </c>
      <c r="F20" s="4"/>
      <c r="G20" s="19">
        <f t="shared" si="2"/>
        <v>-329</v>
      </c>
      <c r="H20" s="19"/>
      <c r="I20" s="3">
        <v>2418</v>
      </c>
      <c r="J20" s="4">
        <f t="shared" si="0"/>
        <v>0.50951199338296116</v>
      </c>
      <c r="K20" s="3">
        <f t="shared" si="4"/>
        <v>-1186</v>
      </c>
    </row>
    <row r="21" spans="1:15">
      <c r="A21" s="13" t="s">
        <v>9</v>
      </c>
      <c r="B21" s="7">
        <v>46218</v>
      </c>
      <c r="C21" s="3">
        <v>1525</v>
      </c>
      <c r="D21" s="3">
        <v>1680</v>
      </c>
      <c r="E21" s="4">
        <f t="shared" si="1"/>
        <v>0.90773809523809523</v>
      </c>
      <c r="F21" s="4"/>
      <c r="G21" s="19">
        <f t="shared" si="2"/>
        <v>-155</v>
      </c>
      <c r="H21" s="19"/>
      <c r="I21" s="3">
        <v>2581</v>
      </c>
      <c r="J21" s="4">
        <f t="shared" si="0"/>
        <v>0.59085625726462609</v>
      </c>
      <c r="K21" s="3">
        <f t="shared" si="4"/>
        <v>-1056</v>
      </c>
    </row>
    <row r="22" spans="1:15">
      <c r="A22" s="13" t="s">
        <v>10</v>
      </c>
      <c r="B22" s="7">
        <v>46219</v>
      </c>
      <c r="C22" s="3">
        <v>1841</v>
      </c>
      <c r="D22" s="3">
        <v>1548</v>
      </c>
      <c r="E22" s="4">
        <f t="shared" si="1"/>
        <v>1.1892764857881137</v>
      </c>
      <c r="F22" s="4"/>
      <c r="G22" s="19">
        <f t="shared" si="2"/>
        <v>293</v>
      </c>
      <c r="H22" s="19"/>
      <c r="I22" s="3">
        <v>1564</v>
      </c>
      <c r="J22" s="4">
        <f t="shared" si="0"/>
        <v>1.1771099744245523</v>
      </c>
      <c r="K22" s="3">
        <f t="shared" si="4"/>
        <v>277</v>
      </c>
    </row>
    <row r="23" spans="1:15">
      <c r="A23" s="13" t="s">
        <v>11</v>
      </c>
      <c r="B23" s="7">
        <v>46220</v>
      </c>
      <c r="C23" s="3">
        <v>1257</v>
      </c>
      <c r="D23" s="3">
        <v>1597</v>
      </c>
      <c r="E23" s="4">
        <f t="shared" si="1"/>
        <v>0.78710081402629928</v>
      </c>
      <c r="F23" s="4"/>
      <c r="G23" s="19">
        <f t="shared" si="2"/>
        <v>-340</v>
      </c>
      <c r="H23" s="19"/>
      <c r="I23" s="3">
        <v>1498</v>
      </c>
      <c r="J23" s="4">
        <f t="shared" si="0"/>
        <v>0.83911882510013347</v>
      </c>
      <c r="K23" s="3">
        <f t="shared" si="4"/>
        <v>-241</v>
      </c>
    </row>
    <row r="24" spans="1:15">
      <c r="A24" s="13" t="s">
        <v>12</v>
      </c>
      <c r="B24" s="7">
        <v>46221</v>
      </c>
      <c r="C24" s="3">
        <v>3374</v>
      </c>
      <c r="D24" s="3">
        <v>3742</v>
      </c>
      <c r="E24" s="4">
        <f t="shared" si="1"/>
        <v>0.90165686798503475</v>
      </c>
      <c r="F24" s="4"/>
      <c r="G24" s="19">
        <f t="shared" si="2"/>
        <v>-368</v>
      </c>
      <c r="H24" s="19"/>
      <c r="I24" s="3">
        <v>2968</v>
      </c>
      <c r="J24" s="4">
        <f t="shared" si="0"/>
        <v>1.1367924528301887</v>
      </c>
      <c r="K24" s="3">
        <f t="shared" si="4"/>
        <v>406</v>
      </c>
    </row>
    <row r="25" spans="1:15">
      <c r="A25" s="13" t="s">
        <v>13</v>
      </c>
      <c r="B25" s="7">
        <v>46222</v>
      </c>
      <c r="C25" s="3">
        <v>2167</v>
      </c>
      <c r="D25" s="3">
        <v>4136</v>
      </c>
      <c r="E25" s="4">
        <f t="shared" si="1"/>
        <v>0.52393617021276595</v>
      </c>
      <c r="F25" s="4"/>
      <c r="G25" s="19">
        <f t="shared" si="2"/>
        <v>-1969</v>
      </c>
      <c r="H25" s="19"/>
      <c r="I25" s="3">
        <v>3161</v>
      </c>
      <c r="J25" s="4">
        <f t="shared" si="0"/>
        <v>0.68554254982600438</v>
      </c>
      <c r="K25" s="3">
        <f t="shared" si="4"/>
        <v>-994</v>
      </c>
    </row>
    <row r="26" spans="1:15" s="6" customFormat="1">
      <c r="A26" s="60" t="s">
        <v>36</v>
      </c>
      <c r="B26" s="60">
        <v>30</v>
      </c>
      <c r="C26" s="37">
        <f>SUM(C19:C25)</f>
        <v>12641</v>
      </c>
      <c r="D26" s="37">
        <f>SUM(D19:D25)</f>
        <v>15890</v>
      </c>
      <c r="E26" s="38">
        <f>C26/D26</f>
        <v>0.79553178099433608</v>
      </c>
      <c r="F26" s="38"/>
      <c r="G26" s="37">
        <f>C26-D26</f>
        <v>-3249</v>
      </c>
      <c r="H26" s="37"/>
      <c r="I26" s="37">
        <f>SUM(I19:I25)</f>
        <v>15713</v>
      </c>
      <c r="J26" s="38">
        <f t="shared" si="0"/>
        <v>0.80449309488958187</v>
      </c>
      <c r="K26" s="37">
        <f>SUM(K19:K25)</f>
        <v>-3072</v>
      </c>
      <c r="L26" s="8"/>
      <c r="M26" s="8"/>
      <c r="N26" s="8"/>
      <c r="O26" s="8"/>
    </row>
    <row r="27" spans="1:15">
      <c r="A27" s="13" t="s">
        <v>14</v>
      </c>
      <c r="B27" s="7">
        <v>46223</v>
      </c>
      <c r="C27" s="3">
        <v>1400</v>
      </c>
      <c r="D27" s="3">
        <v>1642</v>
      </c>
      <c r="E27" s="4">
        <f t="shared" si="1"/>
        <v>0.85261875761266748</v>
      </c>
      <c r="F27" s="4"/>
      <c r="G27" s="19">
        <f t="shared" si="2"/>
        <v>-242</v>
      </c>
      <c r="H27" s="19"/>
      <c r="I27" s="3">
        <v>943</v>
      </c>
      <c r="J27" s="4">
        <f t="shared" si="0"/>
        <v>1.4846235418875928</v>
      </c>
      <c r="K27" s="3">
        <f t="shared" ref="K27:K33" si="5">+C27-I27</f>
        <v>457</v>
      </c>
    </row>
    <row r="28" spans="1:15">
      <c r="A28" s="13" t="s">
        <v>15</v>
      </c>
      <c r="B28" s="7">
        <v>46224</v>
      </c>
      <c r="C28" s="3">
        <v>910</v>
      </c>
      <c r="D28" s="3">
        <v>1323</v>
      </c>
      <c r="E28" s="4">
        <f t="shared" si="1"/>
        <v>0.68783068783068779</v>
      </c>
      <c r="F28" s="4"/>
      <c r="G28" s="19">
        <f t="shared" si="2"/>
        <v>-413</v>
      </c>
      <c r="H28" s="19"/>
      <c r="I28" s="3">
        <v>1516</v>
      </c>
      <c r="J28" s="4">
        <f t="shared" si="0"/>
        <v>0.60026385224274403</v>
      </c>
      <c r="K28" s="3">
        <f t="shared" si="5"/>
        <v>-606</v>
      </c>
    </row>
    <row r="29" spans="1:15">
      <c r="A29" s="13" t="s">
        <v>9</v>
      </c>
      <c r="B29" s="7">
        <v>46225</v>
      </c>
      <c r="C29" s="3">
        <v>1004</v>
      </c>
      <c r="D29" s="3">
        <v>1497</v>
      </c>
      <c r="E29" s="4">
        <f t="shared" si="1"/>
        <v>0.67067468269873076</v>
      </c>
      <c r="F29" s="4"/>
      <c r="G29" s="19">
        <f t="shared" si="2"/>
        <v>-493</v>
      </c>
      <c r="H29" s="19"/>
      <c r="I29" s="3">
        <v>2015</v>
      </c>
      <c r="J29" s="4">
        <f t="shared" si="0"/>
        <v>0.49826302729528538</v>
      </c>
      <c r="K29" s="3">
        <f t="shared" si="5"/>
        <v>-1011</v>
      </c>
    </row>
    <row r="30" spans="1:15">
      <c r="A30" s="13" t="s">
        <v>10</v>
      </c>
      <c r="B30" s="7">
        <v>46226</v>
      </c>
      <c r="C30" s="3">
        <v>1388</v>
      </c>
      <c r="D30" s="3">
        <v>1614</v>
      </c>
      <c r="E30" s="4">
        <f t="shared" si="1"/>
        <v>0.8599752168525403</v>
      </c>
      <c r="F30" s="4"/>
      <c r="G30" s="19">
        <f t="shared" si="2"/>
        <v>-226</v>
      </c>
      <c r="H30" s="19"/>
      <c r="I30" s="3">
        <v>1436</v>
      </c>
      <c r="J30" s="4">
        <f t="shared" si="0"/>
        <v>0.96657381615598881</v>
      </c>
      <c r="K30" s="3">
        <f t="shared" si="5"/>
        <v>-48</v>
      </c>
    </row>
    <row r="31" spans="1:15">
      <c r="A31" s="13" t="s">
        <v>11</v>
      </c>
      <c r="B31" s="7">
        <v>46227</v>
      </c>
      <c r="C31" s="3">
        <v>1588</v>
      </c>
      <c r="D31" s="3">
        <v>1855</v>
      </c>
      <c r="E31" s="4">
        <f t="shared" si="1"/>
        <v>0.85606469002695418</v>
      </c>
      <c r="F31" s="4"/>
      <c r="G31" s="19">
        <f t="shared" si="2"/>
        <v>-267</v>
      </c>
      <c r="H31" s="19"/>
      <c r="I31" s="3">
        <v>1385</v>
      </c>
      <c r="J31" s="4">
        <f t="shared" si="0"/>
        <v>1.1465703971119134</v>
      </c>
      <c r="K31" s="3">
        <f t="shared" si="5"/>
        <v>203</v>
      </c>
    </row>
    <row r="32" spans="1:15">
      <c r="A32" s="13" t="s">
        <v>12</v>
      </c>
      <c r="B32" s="7">
        <v>46228</v>
      </c>
      <c r="C32" s="3">
        <v>2782</v>
      </c>
      <c r="D32" s="3">
        <v>3854</v>
      </c>
      <c r="E32" s="4">
        <f t="shared" si="1"/>
        <v>0.72184743124026984</v>
      </c>
      <c r="F32" s="4"/>
      <c r="G32" s="19">
        <f t="shared" si="2"/>
        <v>-1072</v>
      </c>
      <c r="H32" s="19"/>
      <c r="I32" s="3">
        <v>4371</v>
      </c>
      <c r="J32" s="4">
        <f t="shared" si="0"/>
        <v>0.63646762754518416</v>
      </c>
      <c r="K32" s="3">
        <f t="shared" si="5"/>
        <v>-1589</v>
      </c>
    </row>
    <row r="33" spans="1:15">
      <c r="A33" s="13" t="s">
        <v>13</v>
      </c>
      <c r="B33" s="7">
        <v>46229</v>
      </c>
      <c r="C33" s="3">
        <v>3292</v>
      </c>
      <c r="D33" s="3">
        <v>3630</v>
      </c>
      <c r="E33" s="4">
        <f t="shared" si="1"/>
        <v>0.90688705234159783</v>
      </c>
      <c r="F33" s="4"/>
      <c r="G33" s="19">
        <f t="shared" si="2"/>
        <v>-338</v>
      </c>
      <c r="H33" s="19" t="s">
        <v>50</v>
      </c>
      <c r="I33" s="3">
        <v>3404</v>
      </c>
      <c r="J33" s="4">
        <f t="shared" si="0"/>
        <v>0.96709753231492357</v>
      </c>
      <c r="K33" s="3">
        <f t="shared" si="5"/>
        <v>-112</v>
      </c>
    </row>
    <row r="34" spans="1:15" s="6" customFormat="1">
      <c r="A34" s="60" t="s">
        <v>37</v>
      </c>
      <c r="B34" s="60">
        <v>31</v>
      </c>
      <c r="C34" s="37">
        <f>SUM(C27:C33)</f>
        <v>12364</v>
      </c>
      <c r="D34" s="37">
        <f>SUM(D27:D33)</f>
        <v>15415</v>
      </c>
      <c r="E34" s="38">
        <f>C34/D34</f>
        <v>0.80207590009730778</v>
      </c>
      <c r="F34" s="38"/>
      <c r="G34" s="37">
        <f>C34-D34</f>
        <v>-3051</v>
      </c>
      <c r="H34" s="37"/>
      <c r="I34" s="37">
        <f>SUM(I27:I33)</f>
        <v>15070</v>
      </c>
      <c r="J34" s="38">
        <f t="shared" si="0"/>
        <v>0.82043795620437954</v>
      </c>
      <c r="K34" s="37">
        <f>SUM(K27:K33)</f>
        <v>-2706</v>
      </c>
      <c r="L34" s="8"/>
      <c r="M34" s="8"/>
      <c r="N34" s="8"/>
      <c r="O34" s="8"/>
    </row>
    <row r="35" spans="1:15">
      <c r="A35" s="13" t="s">
        <v>14</v>
      </c>
      <c r="B35" s="7">
        <v>46230</v>
      </c>
      <c r="C35" s="3">
        <v>1317</v>
      </c>
      <c r="D35" s="3">
        <v>2154</v>
      </c>
      <c r="E35" s="4">
        <f t="shared" si="1"/>
        <v>0.61142061281337046</v>
      </c>
      <c r="F35" s="4"/>
      <c r="G35" s="19">
        <f t="shared" si="2"/>
        <v>-837</v>
      </c>
      <c r="H35" s="19"/>
      <c r="I35" s="3">
        <v>1387</v>
      </c>
      <c r="J35" s="4">
        <f t="shared" si="0"/>
        <v>0.94953136265320837</v>
      </c>
      <c r="K35" s="3">
        <f>+C35-I35</f>
        <v>-70</v>
      </c>
    </row>
    <row r="36" spans="1:15">
      <c r="A36" s="13" t="s">
        <v>15</v>
      </c>
      <c r="B36" s="7">
        <v>46231</v>
      </c>
      <c r="C36" s="3">
        <v>869</v>
      </c>
      <c r="D36" s="3">
        <v>1319</v>
      </c>
      <c r="E36" s="4">
        <f t="shared" si="1"/>
        <v>0.65883244882486736</v>
      </c>
      <c r="F36" s="4"/>
      <c r="G36" s="19">
        <f t="shared" si="2"/>
        <v>-450</v>
      </c>
      <c r="H36" s="19"/>
      <c r="I36" s="3">
        <v>1308</v>
      </c>
      <c r="J36" s="4">
        <f t="shared" si="0"/>
        <v>0.66437308868501532</v>
      </c>
      <c r="K36" s="3">
        <f>+C36-I36</f>
        <v>-439</v>
      </c>
    </row>
    <row r="37" spans="1:15">
      <c r="A37" s="13" t="s">
        <v>9</v>
      </c>
      <c r="B37" s="7">
        <v>46232</v>
      </c>
      <c r="C37" s="3">
        <v>663</v>
      </c>
      <c r="D37" s="3">
        <v>1313</v>
      </c>
      <c r="E37" s="4">
        <f t="shared" si="1"/>
        <v>0.50495049504950495</v>
      </c>
      <c r="F37" s="4"/>
      <c r="G37" s="19">
        <f t="shared" si="2"/>
        <v>-650</v>
      </c>
      <c r="H37" s="19"/>
      <c r="I37" s="3">
        <v>1582</v>
      </c>
      <c r="J37" s="4">
        <f t="shared" si="0"/>
        <v>0.41908975979772439</v>
      </c>
      <c r="K37" s="3">
        <f>+C37-I37</f>
        <v>-919</v>
      </c>
    </row>
    <row r="38" spans="1:15">
      <c r="A38" s="13" t="s">
        <v>10</v>
      </c>
      <c r="B38" s="7">
        <v>46233</v>
      </c>
      <c r="C38" s="3">
        <v>894</v>
      </c>
      <c r="D38" s="3">
        <v>1245</v>
      </c>
      <c r="E38" s="4">
        <f t="shared" si="1"/>
        <v>0.71807228915662646</v>
      </c>
      <c r="F38" s="4"/>
      <c r="G38" s="19">
        <f t="shared" si="2"/>
        <v>-351</v>
      </c>
      <c r="H38" s="19"/>
      <c r="I38" s="3">
        <v>1114</v>
      </c>
      <c r="J38" s="4">
        <f t="shared" si="0"/>
        <v>0.80251346499102338</v>
      </c>
      <c r="K38" s="3">
        <f>+C38-I38</f>
        <v>-220</v>
      </c>
    </row>
    <row r="39" spans="1:15">
      <c r="A39" s="13" t="s">
        <v>11</v>
      </c>
      <c r="B39" s="7">
        <v>46234</v>
      </c>
      <c r="C39" s="32">
        <v>1964</v>
      </c>
      <c r="D39" s="32">
        <v>1525</v>
      </c>
      <c r="E39" s="33">
        <f t="shared" si="1"/>
        <v>1.2878688524590165</v>
      </c>
      <c r="F39" s="33"/>
      <c r="G39" s="34">
        <f t="shared" si="2"/>
        <v>439</v>
      </c>
      <c r="H39" s="34"/>
      <c r="I39" s="32">
        <v>2024</v>
      </c>
      <c r="J39" s="33">
        <f t="shared" si="0"/>
        <v>0.97035573122529639</v>
      </c>
      <c r="K39" s="3">
        <f>+C39-I39</f>
        <v>-60</v>
      </c>
    </row>
    <row r="40" spans="1:15" ht="15" thickBot="1">
      <c r="A40" s="13"/>
      <c r="C40" s="35">
        <f>SUM(C35:C39)</f>
        <v>5707</v>
      </c>
      <c r="D40" s="35">
        <f>SUM(D35:D39)</f>
        <v>7556</v>
      </c>
      <c r="E40" s="36">
        <f>C40/D40</f>
        <v>0.7552938062466914</v>
      </c>
      <c r="F40" s="36"/>
      <c r="G40" s="35">
        <f>C40-D40</f>
        <v>-1849</v>
      </c>
      <c r="H40" s="35"/>
      <c r="I40" s="35">
        <f>SUM(I35:I39)</f>
        <v>7415</v>
      </c>
      <c r="J40" s="36">
        <f t="shared" si="0"/>
        <v>0.76965610249494265</v>
      </c>
      <c r="K40" s="35">
        <f>SUM(K35:K39)</f>
        <v>-1708</v>
      </c>
    </row>
    <row r="41" spans="1:15" ht="15" thickTop="1">
      <c r="A41" s="13"/>
      <c r="C41" s="23">
        <f>+C40+C34+C26+C18+C10</f>
        <v>54255.1</v>
      </c>
      <c r="D41" s="23">
        <f>D40+D34+D26+D18+D10</f>
        <v>73871</v>
      </c>
      <c r="E41" s="24">
        <f>C41/D41</f>
        <v>0.73445736486577951</v>
      </c>
      <c r="F41" s="24"/>
      <c r="G41" s="23">
        <f>C41-D41</f>
        <v>-19615.900000000001</v>
      </c>
      <c r="H41" s="23"/>
      <c r="I41" s="23">
        <f>I40+I34+I26+I18+I10</f>
        <v>63819</v>
      </c>
      <c r="J41" s="24">
        <f t="shared" si="0"/>
        <v>0.85014024036728875</v>
      </c>
      <c r="K41" s="23">
        <f>K40+K34+K26+K18+K10</f>
        <v>-9563.9</v>
      </c>
    </row>
    <row r="42" spans="1:15">
      <c r="I42" s="12"/>
      <c r="M42" s="42"/>
    </row>
    <row r="43" spans="1:15" ht="60">
      <c r="A43" s="11" t="s">
        <v>24</v>
      </c>
      <c r="B43" s="11" t="s">
        <v>25</v>
      </c>
      <c r="C43" s="11" t="s">
        <v>28</v>
      </c>
      <c r="D43" s="17" t="s">
        <v>26</v>
      </c>
      <c r="E43" s="11" t="s">
        <v>27</v>
      </c>
      <c r="F43" s="11" t="s">
        <v>46</v>
      </c>
      <c r="G43" s="11" t="s">
        <v>29</v>
      </c>
      <c r="H43" s="11" t="s">
        <v>46</v>
      </c>
      <c r="I43" s="17" t="s">
        <v>16</v>
      </c>
      <c r="J43" s="17" t="s">
        <v>17</v>
      </c>
      <c r="K43" s="17" t="s">
        <v>30</v>
      </c>
      <c r="L43" s="17" t="s">
        <v>49</v>
      </c>
      <c r="M43" s="17" t="s">
        <v>31</v>
      </c>
      <c r="N43" s="17" t="s">
        <v>32</v>
      </c>
    </row>
    <row r="44" spans="1:15">
      <c r="A44" s="13">
        <v>60068210</v>
      </c>
      <c r="B44" s="25" t="s">
        <v>20</v>
      </c>
      <c r="C44" s="39">
        <v>93</v>
      </c>
      <c r="D44" s="16">
        <v>13641.73</v>
      </c>
      <c r="E44" s="16">
        <f t="shared" ref="E44:E49" si="6">D44/I44</f>
        <v>48.374929078014183</v>
      </c>
      <c r="F44" s="41">
        <f>+$E$49</f>
        <v>45.669116161616166</v>
      </c>
      <c r="G44" s="28">
        <f t="shared" ref="G44:G49" si="7">J44/I44</f>
        <v>1.9432624113475176</v>
      </c>
      <c r="H44" s="41">
        <f>+$G$49</f>
        <v>1.8905723905723906</v>
      </c>
      <c r="I44" s="27">
        <v>282</v>
      </c>
      <c r="J44" s="27">
        <v>548</v>
      </c>
      <c r="K44" s="15">
        <f>C44/$C$49</f>
        <v>0.18787878787878787</v>
      </c>
      <c r="L44" s="26">
        <f>$D$49*K44</f>
        <v>10193.346727272727</v>
      </c>
      <c r="M44" s="40">
        <f>D44-L44</f>
        <v>3448.3832727272729</v>
      </c>
      <c r="N44" s="14">
        <f>M44/D44</f>
        <v>0.25278196187193802</v>
      </c>
    </row>
    <row r="45" spans="1:15">
      <c r="A45" s="13">
        <v>60076890</v>
      </c>
      <c r="B45" s="25" t="s">
        <v>21</v>
      </c>
      <c r="C45" s="39">
        <v>85</v>
      </c>
      <c r="D45" s="16">
        <v>12076.31</v>
      </c>
      <c r="E45" s="16">
        <f t="shared" si="6"/>
        <v>53.434999999999995</v>
      </c>
      <c r="F45" s="41">
        <f t="shared" ref="F45:F48" si="8">+$E$49</f>
        <v>45.669116161616166</v>
      </c>
      <c r="G45" s="28">
        <f t="shared" si="7"/>
        <v>2.1415929203539825</v>
      </c>
      <c r="H45" s="41">
        <f t="shared" ref="H45:H48" si="9">+$G$49</f>
        <v>1.8905723905723906</v>
      </c>
      <c r="I45" s="27">
        <v>226</v>
      </c>
      <c r="J45" s="27">
        <v>484</v>
      </c>
      <c r="K45" s="15">
        <f>C45/$C$49</f>
        <v>0.17171717171717171</v>
      </c>
      <c r="L45" s="26">
        <f>$D$49*K45</f>
        <v>9316.4996969696967</v>
      </c>
      <c r="M45" s="40">
        <f>D45-L45</f>
        <v>2759.8103030303027</v>
      </c>
      <c r="N45" s="14">
        <f>M45/D45</f>
        <v>0.22853092567434116</v>
      </c>
    </row>
    <row r="46" spans="1:15">
      <c r="A46" s="13">
        <v>60005602</v>
      </c>
      <c r="B46" s="25" t="s">
        <v>22</v>
      </c>
      <c r="C46" s="39">
        <v>107</v>
      </c>
      <c r="D46" s="16">
        <v>10933.32</v>
      </c>
      <c r="E46" s="16">
        <f t="shared" si="6"/>
        <v>43.9089156626506</v>
      </c>
      <c r="F46" s="41">
        <f t="shared" si="8"/>
        <v>45.669116161616166</v>
      </c>
      <c r="G46" s="28">
        <f t="shared" si="7"/>
        <v>1.8995983935742973</v>
      </c>
      <c r="H46" s="41">
        <f t="shared" si="9"/>
        <v>1.8905723905723906</v>
      </c>
      <c r="I46" s="27">
        <v>249</v>
      </c>
      <c r="J46" s="27">
        <v>473</v>
      </c>
      <c r="K46" s="15">
        <f>C46/$C$49</f>
        <v>0.21616161616161617</v>
      </c>
      <c r="L46" s="26">
        <f>$D$49*K46</f>
        <v>11727.829030303032</v>
      </c>
      <c r="M46" s="40">
        <f>D46-L46</f>
        <v>-794.50903030303198</v>
      </c>
      <c r="N46" s="14">
        <f>M46/D46</f>
        <v>-7.2668597489420603E-2</v>
      </c>
    </row>
    <row r="47" spans="1:15">
      <c r="A47" s="13">
        <v>30320071</v>
      </c>
      <c r="B47" s="25" t="s">
        <v>23</v>
      </c>
      <c r="C47" s="39">
        <v>156</v>
      </c>
      <c r="D47" s="16">
        <v>10840.4</v>
      </c>
      <c r="E47" s="16">
        <f t="shared" si="6"/>
        <v>40.149629629629629</v>
      </c>
      <c r="F47" s="41">
        <f t="shared" si="8"/>
        <v>45.669116161616166</v>
      </c>
      <c r="G47" s="28">
        <f t="shared" si="7"/>
        <v>1.6925925925925926</v>
      </c>
      <c r="H47" s="41">
        <f t="shared" si="9"/>
        <v>1.8905723905723906</v>
      </c>
      <c r="I47" s="27">
        <v>270</v>
      </c>
      <c r="J47" s="27">
        <v>457</v>
      </c>
      <c r="K47" s="15">
        <f>C47/$C$49</f>
        <v>0.31515151515151513</v>
      </c>
      <c r="L47" s="26">
        <f>$D$49*K47</f>
        <v>17098.517090909092</v>
      </c>
      <c r="M47" s="40">
        <f>D47-L47</f>
        <v>-6258.1170909090924</v>
      </c>
      <c r="N47" s="14">
        <f>M47/D47</f>
        <v>-0.57729577238008678</v>
      </c>
    </row>
    <row r="48" spans="1:15">
      <c r="A48" s="13">
        <v>60029716</v>
      </c>
      <c r="B48" s="25" t="s">
        <v>18</v>
      </c>
      <c r="C48" s="31">
        <v>54</v>
      </c>
      <c r="D48" s="29">
        <v>6763.15</v>
      </c>
      <c r="E48" s="29">
        <f t="shared" si="6"/>
        <v>42.007142857142853</v>
      </c>
      <c r="F48" s="41">
        <f t="shared" si="8"/>
        <v>45.669116161616166</v>
      </c>
      <c r="G48" s="30">
        <f t="shared" si="7"/>
        <v>1.7639751552795031</v>
      </c>
      <c r="H48" s="41">
        <f t="shared" si="9"/>
        <v>1.8905723905723906</v>
      </c>
      <c r="I48" s="31">
        <v>161</v>
      </c>
      <c r="J48" s="31">
        <v>284</v>
      </c>
      <c r="K48" s="15">
        <f>C48/$C$49</f>
        <v>0.10909090909090909</v>
      </c>
      <c r="L48" s="26">
        <f>$D$49*K48</f>
        <v>5918.7174545454545</v>
      </c>
      <c r="M48" s="40">
        <f>D48-L48</f>
        <v>844.43254545454511</v>
      </c>
      <c r="N48" s="14">
        <f>M48/D48</f>
        <v>0.12485787620480769</v>
      </c>
    </row>
    <row r="49" spans="2:14">
      <c r="C49" s="12">
        <f>SUM(C44:C48)</f>
        <v>495</v>
      </c>
      <c r="D49" s="12">
        <f>SUM(D44:D48)</f>
        <v>54254.91</v>
      </c>
      <c r="E49" s="41">
        <f t="shared" si="6"/>
        <v>45.669116161616166</v>
      </c>
      <c r="F49" s="41"/>
      <c r="G49" s="9">
        <f t="shared" si="7"/>
        <v>1.8905723905723906</v>
      </c>
      <c r="H49" s="9"/>
      <c r="I49" s="12">
        <f>SUM(I44:I48)</f>
        <v>1188</v>
      </c>
      <c r="J49" s="12">
        <f>SUM(J44:J48)</f>
        <v>2246</v>
      </c>
      <c r="K49" s="22"/>
    </row>
    <row r="50" spans="2:14">
      <c r="E50" s="10"/>
      <c r="F50" s="10"/>
      <c r="G50" s="27"/>
      <c r="H50" s="27"/>
    </row>
    <row r="51" spans="2:14">
      <c r="B51" s="58"/>
      <c r="C51" s="58"/>
      <c r="D51" s="58"/>
      <c r="E51" s="58"/>
      <c r="F51" s="57"/>
      <c r="I51" s="59" t="s">
        <v>47</v>
      </c>
      <c r="J51" s="59"/>
      <c r="K51" s="59"/>
      <c r="L51" s="59"/>
      <c r="M51" s="59"/>
      <c r="N51" s="59"/>
    </row>
    <row r="64" spans="2:14">
      <c r="B64" s="58" t="s">
        <v>48</v>
      </c>
      <c r="C64" s="58"/>
      <c r="D64" s="58"/>
      <c r="E64" s="58"/>
      <c r="F64" s="57"/>
      <c r="I64" s="59" t="s">
        <v>29</v>
      </c>
      <c r="J64" s="59"/>
      <c r="K64" s="59"/>
      <c r="L64" s="59"/>
      <c r="M64" s="59"/>
      <c r="N64" s="59"/>
    </row>
  </sheetData>
  <mergeCells count="12">
    <mergeCell ref="A18:B18"/>
    <mergeCell ref="A1:K1"/>
    <mergeCell ref="A2:K2"/>
    <mergeCell ref="A3:B3"/>
    <mergeCell ref="A4:B4"/>
    <mergeCell ref="A10:B10"/>
    <mergeCell ref="B51:E51"/>
    <mergeCell ref="I51:N51"/>
    <mergeCell ref="B64:E64"/>
    <mergeCell ref="I64:N64"/>
    <mergeCell ref="A26:B26"/>
    <mergeCell ref="A34:B34"/>
  </mergeCells>
  <phoneticPr fontId="5" type="noConversion"/>
  <conditionalFormatting sqref="E4:F9 E11:F17 E19:F25 E27:F33 E35:F39 G42:H42 G50:H1048576">
    <cfRule type="cellIs" dxfId="5" priority="10" operator="greaterThan">
      <formula>1</formula>
    </cfRule>
  </conditionalFormatting>
  <conditionalFormatting sqref="E5:F9 E11:F17 E19:F25 E27:F33 E35:F39">
    <cfRule type="cellIs" dxfId="4" priority="9" operator="lessThan">
      <formula>1</formula>
    </cfRule>
  </conditionalFormatting>
  <conditionalFormatting sqref="J5:J9 J11:J17 J19:J25 J27:J33 J35:J39">
    <cfRule type="cellIs" dxfId="3" priority="7" operator="lessThan">
      <formula>1</formula>
    </cfRule>
    <cfRule type="cellIs" dxfId="2" priority="8" operator="greaterThan">
      <formula>1</formula>
    </cfRule>
  </conditionalFormatting>
  <conditionalFormatting sqref="N44:N48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3EF7-DEF6-C84B-8678-73B44A23821D}">
  <dimension ref="A1:L45"/>
  <sheetViews>
    <sheetView zoomScale="90" workbookViewId="0">
      <selection activeCell="B7" sqref="B7"/>
    </sheetView>
    <sheetView workbookViewId="1">
      <selection sqref="A1:D1"/>
    </sheetView>
  </sheetViews>
  <sheetFormatPr baseColWidth="10" defaultRowHeight="20" customHeight="1"/>
  <cols>
    <col min="1" max="4" width="15.83203125" style="1" customWidth="1"/>
    <col min="5" max="16384" width="10.83203125" style="1"/>
  </cols>
  <sheetData>
    <row r="1" spans="1:12" ht="20" customHeight="1">
      <c r="A1" s="63" t="s">
        <v>38</v>
      </c>
      <c r="B1" s="63"/>
      <c r="C1" s="63"/>
      <c r="D1" s="63"/>
      <c r="E1" s="63"/>
    </row>
    <row r="2" spans="1:12" ht="20" customHeight="1">
      <c r="A2" s="2"/>
      <c r="B2" s="52" t="s">
        <v>1</v>
      </c>
      <c r="C2" s="52" t="s">
        <v>39</v>
      </c>
      <c r="D2" s="52" t="s">
        <v>43</v>
      </c>
      <c r="E2" s="52" t="s">
        <v>40</v>
      </c>
      <c r="G2" s="62" t="s">
        <v>41</v>
      </c>
      <c r="H2" s="62"/>
      <c r="I2" s="62"/>
      <c r="J2" s="62"/>
      <c r="K2" s="62"/>
      <c r="L2" s="62"/>
    </row>
    <row r="3" spans="1:12" ht="20" customHeight="1">
      <c r="A3" s="43" t="s">
        <v>33</v>
      </c>
      <c r="B3" s="44">
        <f>+'Foglio di CALCOLO'!C10</f>
        <v>8963</v>
      </c>
      <c r="C3" s="44">
        <f>+'Foglio di CALCOLO'!D10</f>
        <v>15384</v>
      </c>
      <c r="D3" s="44">
        <f>'Foglio di CALCOLO'!I10</f>
        <v>11434</v>
      </c>
      <c r="E3" s="44">
        <f>B3-C3</f>
        <v>-6421</v>
      </c>
      <c r="F3" s="53"/>
      <c r="G3" s="53"/>
      <c r="H3" s="53"/>
      <c r="I3" s="53"/>
      <c r="J3" s="53"/>
      <c r="K3" s="53"/>
    </row>
    <row r="4" spans="1:12" ht="20" customHeight="1">
      <c r="A4" s="43" t="s">
        <v>34</v>
      </c>
      <c r="B4" s="44">
        <f>+'Foglio di CALCOLO'!C18</f>
        <v>14580.1</v>
      </c>
      <c r="C4" s="44">
        <f>+'Foglio di CALCOLO'!D18</f>
        <v>19626</v>
      </c>
      <c r="D4" s="44">
        <f>+'Foglio di CALCOLO'!I18</f>
        <v>14187</v>
      </c>
      <c r="E4" s="44">
        <f>B4-C4</f>
        <v>-5045.8999999999996</v>
      </c>
    </row>
    <row r="5" spans="1:12" ht="20" customHeight="1">
      <c r="A5" s="43" t="s">
        <v>35</v>
      </c>
      <c r="B5" s="44">
        <f>+'Foglio di CALCOLO'!C26</f>
        <v>12641</v>
      </c>
      <c r="C5" s="44">
        <f>+'Foglio di CALCOLO'!D26</f>
        <v>15890</v>
      </c>
      <c r="D5" s="44">
        <f>+'Foglio di CALCOLO'!I26</f>
        <v>15713</v>
      </c>
      <c r="E5" s="44">
        <f>B5-C5</f>
        <v>-3249</v>
      </c>
    </row>
    <row r="6" spans="1:12" ht="20" customHeight="1">
      <c r="A6" s="43" t="s">
        <v>36</v>
      </c>
      <c r="B6" s="44">
        <f>+'Foglio di CALCOLO'!C34</f>
        <v>12364</v>
      </c>
      <c r="C6" s="44">
        <f>+'Foglio di CALCOLO'!D34</f>
        <v>15415</v>
      </c>
      <c r="D6" s="44">
        <f>+'Foglio di CALCOLO'!I34</f>
        <v>15070</v>
      </c>
      <c r="E6" s="44">
        <f>B6-C6</f>
        <v>-3051</v>
      </c>
    </row>
    <row r="7" spans="1:12" ht="20" customHeight="1">
      <c r="A7" s="43" t="s">
        <v>37</v>
      </c>
      <c r="B7" s="54">
        <f>+'Foglio di CALCOLO'!C40</f>
        <v>5707</v>
      </c>
      <c r="C7" s="54">
        <f>+'Foglio di CALCOLO'!D40</f>
        <v>7556</v>
      </c>
      <c r="D7" s="54">
        <f>+'Foglio di CALCOLO'!I40</f>
        <v>7415</v>
      </c>
      <c r="E7" s="54">
        <f>B7-C7</f>
        <v>-1849</v>
      </c>
    </row>
    <row r="8" spans="1:12" ht="20" customHeight="1">
      <c r="A8" s="45"/>
      <c r="B8" s="42">
        <f>SUM(B3:B7)</f>
        <v>54255.1</v>
      </c>
      <c r="C8" s="42">
        <f>SUM(C3:C7)</f>
        <v>73871</v>
      </c>
      <c r="D8" s="42">
        <f>SUM(D3:D7)</f>
        <v>63819</v>
      </c>
      <c r="E8" s="42">
        <f>SUM(E3:E7)</f>
        <v>-19615.900000000001</v>
      </c>
      <c r="F8" s="45"/>
    </row>
    <row r="9" spans="1:12" ht="20" customHeight="1">
      <c r="A9" s="46"/>
      <c r="B9" s="1" t="s">
        <v>44</v>
      </c>
      <c r="C9" s="4">
        <f>B8/C8</f>
        <v>0.73445736486577951</v>
      </c>
      <c r="D9" s="55">
        <f>B8/D8</f>
        <v>0.85014024036728875</v>
      </c>
      <c r="E9" s="46"/>
      <c r="F9" s="46"/>
    </row>
    <row r="10" spans="1:12" ht="20" customHeight="1">
      <c r="A10" s="47"/>
      <c r="B10" s="1" t="s">
        <v>45</v>
      </c>
      <c r="C10" s="56">
        <f>1-C9</f>
        <v>0.26554263513422049</v>
      </c>
      <c r="D10" s="56">
        <f>1-D9</f>
        <v>0.14985975963271125</v>
      </c>
      <c r="E10" s="47"/>
      <c r="F10" s="47"/>
      <c r="G10" s="47"/>
    </row>
    <row r="11" spans="1:12" ht="20" customHeight="1">
      <c r="A11" s="47"/>
      <c r="D11" s="47"/>
      <c r="E11" s="47"/>
      <c r="F11" s="47"/>
      <c r="G11" s="47"/>
    </row>
    <row r="12" spans="1:12" ht="20" customHeight="1">
      <c r="A12" s="47"/>
      <c r="D12" s="47"/>
      <c r="E12" s="47"/>
      <c r="F12" s="47"/>
      <c r="G12" s="47"/>
    </row>
    <row r="13" spans="1:12" ht="20" customHeight="1">
      <c r="A13" s="47"/>
      <c r="B13" s="48"/>
      <c r="C13" s="47"/>
      <c r="D13" s="47"/>
      <c r="E13" s="47"/>
      <c r="F13" s="47"/>
      <c r="G13" s="62" t="s">
        <v>42</v>
      </c>
      <c r="H13" s="62"/>
      <c r="I13" s="62"/>
      <c r="J13" s="62"/>
      <c r="K13" s="62"/>
      <c r="L13" s="62"/>
    </row>
    <row r="14" spans="1:12" ht="20" customHeight="1">
      <c r="A14" s="47"/>
      <c r="B14" s="48"/>
      <c r="C14" s="47"/>
      <c r="D14" s="47"/>
      <c r="E14" s="47"/>
      <c r="F14" s="47"/>
      <c r="G14" s="47"/>
    </row>
    <row r="15" spans="1:12" ht="20" customHeight="1">
      <c r="A15" s="46"/>
      <c r="B15" s="49"/>
      <c r="C15" s="46"/>
      <c r="D15" s="46"/>
      <c r="E15" s="46"/>
      <c r="F15" s="46"/>
      <c r="G15" s="46"/>
    </row>
    <row r="16" spans="1:12" ht="20" customHeight="1">
      <c r="A16" s="47"/>
      <c r="B16" s="48"/>
      <c r="C16" s="47"/>
      <c r="D16" s="47"/>
      <c r="E16" s="47"/>
      <c r="F16" s="47"/>
      <c r="G16" s="47"/>
    </row>
    <row r="17" spans="1:7" ht="20" customHeight="1">
      <c r="A17" s="47"/>
      <c r="B17" s="48"/>
      <c r="C17" s="47"/>
      <c r="D17" s="47"/>
      <c r="E17" s="47"/>
      <c r="F17" s="47"/>
      <c r="G17" s="47"/>
    </row>
    <row r="18" spans="1:7" ht="20" customHeight="1">
      <c r="A18" s="47"/>
      <c r="B18" s="48"/>
      <c r="C18" s="47"/>
      <c r="D18" s="47"/>
      <c r="E18" s="47"/>
      <c r="F18" s="47"/>
      <c r="G18" s="47"/>
    </row>
    <row r="19" spans="1:7" ht="20" customHeight="1">
      <c r="A19" s="47"/>
      <c r="B19" s="48"/>
      <c r="C19" s="47"/>
      <c r="D19" s="47"/>
      <c r="E19" s="47"/>
      <c r="F19" s="47"/>
      <c r="G19" s="47"/>
    </row>
    <row r="20" spans="1:7" ht="20" customHeight="1">
      <c r="A20" s="47"/>
      <c r="B20" s="48"/>
      <c r="C20" s="47"/>
      <c r="D20" s="47"/>
      <c r="E20" s="47"/>
      <c r="F20" s="47"/>
      <c r="G20" s="47"/>
    </row>
    <row r="21" spans="1:7" ht="20" customHeight="1">
      <c r="A21" s="47"/>
      <c r="B21" s="48"/>
      <c r="C21" s="47"/>
      <c r="D21" s="47"/>
      <c r="E21" s="47"/>
      <c r="F21" s="47"/>
      <c r="G21" s="47"/>
    </row>
    <row r="22" spans="1:7" ht="20" customHeight="1">
      <c r="A22" s="47"/>
      <c r="B22" s="48"/>
      <c r="C22" s="47"/>
      <c r="D22" s="47"/>
      <c r="E22" s="47"/>
      <c r="F22" s="47"/>
    </row>
    <row r="23" spans="1:7" ht="20" customHeight="1">
      <c r="A23" s="46"/>
      <c r="B23" s="49"/>
      <c r="C23" s="46"/>
      <c r="D23" s="46"/>
      <c r="E23" s="46"/>
      <c r="F23" s="46"/>
    </row>
    <row r="24" spans="1:7" ht="20" customHeight="1">
      <c r="A24" s="47"/>
      <c r="B24" s="48"/>
      <c r="C24" s="47"/>
      <c r="D24" s="47"/>
      <c r="E24" s="47"/>
      <c r="F24" s="47"/>
    </row>
    <row r="25" spans="1:7" ht="20" customHeight="1">
      <c r="A25" s="47"/>
      <c r="B25" s="48"/>
      <c r="C25" s="47"/>
      <c r="D25" s="47"/>
      <c r="E25" s="47"/>
      <c r="F25" s="47"/>
    </row>
    <row r="26" spans="1:7" ht="20" customHeight="1">
      <c r="A26" s="47"/>
      <c r="B26" s="48"/>
      <c r="C26" s="47"/>
      <c r="D26" s="47"/>
      <c r="E26" s="47"/>
      <c r="F26" s="47"/>
    </row>
    <row r="27" spans="1:7" ht="20" customHeight="1">
      <c r="A27" s="47"/>
      <c r="B27" s="48"/>
      <c r="C27" s="47"/>
      <c r="D27" s="47"/>
      <c r="E27" s="47"/>
      <c r="F27" s="47"/>
    </row>
    <row r="28" spans="1:7" ht="20" customHeight="1">
      <c r="A28" s="47"/>
      <c r="B28" s="48"/>
      <c r="C28" s="47"/>
      <c r="D28" s="47"/>
      <c r="E28" s="47"/>
      <c r="F28" s="47"/>
    </row>
    <row r="29" spans="1:7" ht="20" customHeight="1">
      <c r="A29" s="47"/>
      <c r="B29" s="48"/>
      <c r="C29" s="47"/>
      <c r="D29" s="47"/>
      <c r="E29" s="47"/>
      <c r="F29" s="47"/>
    </row>
    <row r="30" spans="1:7" ht="20" customHeight="1">
      <c r="A30" s="47"/>
      <c r="B30" s="48"/>
      <c r="C30" s="47"/>
      <c r="D30" s="47"/>
      <c r="E30" s="47"/>
      <c r="F30" s="47"/>
    </row>
    <row r="31" spans="1:7" ht="20" customHeight="1">
      <c r="A31" s="46"/>
      <c r="B31" s="49"/>
      <c r="C31" s="46"/>
      <c r="D31" s="46"/>
      <c r="E31" s="46"/>
      <c r="F31" s="46"/>
    </row>
    <row r="32" spans="1:7" ht="20" customHeight="1">
      <c r="A32" s="47"/>
      <c r="B32" s="48"/>
      <c r="C32" s="47"/>
      <c r="D32" s="47"/>
      <c r="E32" s="47"/>
      <c r="F32" s="47"/>
    </row>
    <row r="33" spans="1:6" ht="20" customHeight="1">
      <c r="A33" s="47"/>
      <c r="B33" s="48"/>
      <c r="C33" s="47"/>
      <c r="D33" s="47"/>
      <c r="E33" s="47"/>
      <c r="F33" s="47"/>
    </row>
    <row r="34" spans="1:6" ht="20" customHeight="1">
      <c r="A34" s="47"/>
      <c r="B34" s="48"/>
      <c r="C34" s="47"/>
      <c r="D34" s="47"/>
      <c r="E34" s="47"/>
      <c r="F34" s="47"/>
    </row>
    <row r="35" spans="1:6" ht="20" customHeight="1">
      <c r="A35" s="47"/>
      <c r="B35" s="48"/>
      <c r="C35" s="47"/>
      <c r="D35" s="47"/>
      <c r="E35" s="47"/>
      <c r="F35" s="47"/>
    </row>
    <row r="36" spans="1:6" ht="20" customHeight="1">
      <c r="A36" s="47"/>
      <c r="B36" s="48"/>
      <c r="C36" s="47"/>
      <c r="D36" s="47"/>
      <c r="E36" s="47"/>
      <c r="F36" s="47"/>
    </row>
    <row r="37" spans="1:6" ht="20" customHeight="1">
      <c r="A37" s="47"/>
      <c r="B37" s="48"/>
      <c r="C37" s="47"/>
      <c r="D37" s="47"/>
      <c r="E37" s="47"/>
      <c r="F37" s="47"/>
    </row>
    <row r="38" spans="1:6" ht="20" customHeight="1">
      <c r="A38" s="47"/>
      <c r="B38" s="48"/>
      <c r="C38" s="47"/>
      <c r="D38" s="47"/>
      <c r="E38" s="47"/>
      <c r="F38" s="47"/>
    </row>
    <row r="39" spans="1:6" ht="20" customHeight="1">
      <c r="A39" s="46"/>
      <c r="B39" s="49"/>
      <c r="C39" s="46"/>
      <c r="D39" s="46"/>
      <c r="E39" s="46"/>
      <c r="F39" s="46"/>
    </row>
    <row r="40" spans="1:6" ht="20" customHeight="1">
      <c r="A40" s="47"/>
      <c r="B40" s="48"/>
      <c r="C40" s="47"/>
      <c r="D40" s="47"/>
      <c r="E40" s="47"/>
      <c r="F40" s="47"/>
    </row>
    <row r="41" spans="1:6" ht="20" customHeight="1">
      <c r="A41" s="47"/>
      <c r="B41" s="48"/>
      <c r="C41" s="47"/>
      <c r="D41" s="47"/>
      <c r="E41" s="47"/>
      <c r="F41" s="47"/>
    </row>
    <row r="42" spans="1:6" ht="20" customHeight="1">
      <c r="A42" s="47"/>
      <c r="B42" s="48"/>
      <c r="C42" s="47"/>
      <c r="D42" s="47"/>
      <c r="E42" s="47"/>
      <c r="F42" s="47"/>
    </row>
    <row r="43" spans="1:6" ht="20" customHeight="1">
      <c r="A43" s="47"/>
      <c r="B43" s="48"/>
      <c r="C43" s="47"/>
      <c r="D43" s="47"/>
      <c r="E43" s="47"/>
      <c r="F43" s="47"/>
    </row>
    <row r="44" spans="1:6" ht="20" customHeight="1">
      <c r="A44" s="47"/>
      <c r="B44" s="48"/>
      <c r="C44" s="47"/>
      <c r="D44" s="47"/>
      <c r="E44" s="47"/>
      <c r="F44" s="47"/>
    </row>
    <row r="45" spans="1:6" ht="20" customHeight="1">
      <c r="A45" s="50"/>
      <c r="B45" s="51"/>
      <c r="C45" s="50"/>
      <c r="D45" s="50"/>
      <c r="E45" s="50"/>
      <c r="F45" s="50"/>
    </row>
  </sheetData>
  <mergeCells count="3">
    <mergeCell ref="G13:L13"/>
    <mergeCell ref="A1:E1"/>
    <mergeCell ref="G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7CE0-8784-644A-A91A-CEE7B59C3AFE}">
  <dimension ref="A1"/>
  <sheetViews>
    <sheetView workbookViewId="0"/>
    <sheetView workbookViewId="1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 di CALCOLO</vt:lpstr>
      <vt:lpstr>POWERPOINT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Spadoni Herrera - sharon.spadoni@studio.unibo.it</dc:creator>
  <cp:lastModifiedBy>Sharon Spadoni Herrera - sharon.spadoni@studio.unibo.i</cp:lastModifiedBy>
  <dcterms:created xsi:type="dcterms:W3CDTF">2026-08-11T10:52:51Z</dcterms:created>
  <dcterms:modified xsi:type="dcterms:W3CDTF">2026-09-02T12:02:02Z</dcterms:modified>
</cp:coreProperties>
</file>